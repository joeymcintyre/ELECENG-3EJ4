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4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5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6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8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9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0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1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3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6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7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8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9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0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31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2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3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4.xml" ContentType="application/vnd.openxmlformats-officedocument.drawingml.chartshape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5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6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37.xml" ContentType="application/vnd.openxmlformats-officedocument.drawingml.chartshapes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3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8_{FEBF1B9C-6BB8-4FDC-829A-322F2663F86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teps 1.2-1.4" sheetId="2" r:id="rId1"/>
    <sheet name="Step 1.8" sheetId="3" r:id="rId2"/>
    <sheet name="Steps 2.2-2.4" sheetId="4" r:id="rId3"/>
    <sheet name="Step 2.8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" i="5" l="1"/>
  <c r="N98" i="5"/>
  <c r="J98" i="5"/>
  <c r="I98" i="5"/>
  <c r="K98" i="5" s="1"/>
  <c r="F98" i="5"/>
  <c r="E98" i="5"/>
  <c r="I72" i="5"/>
  <c r="O97" i="4"/>
  <c r="N97" i="4"/>
  <c r="O98" i="3"/>
  <c r="N98" i="3"/>
  <c r="M98" i="3"/>
  <c r="J98" i="3"/>
  <c r="I98" i="3"/>
  <c r="K98" i="3" s="1"/>
  <c r="F98" i="3"/>
  <c r="E98" i="3"/>
  <c r="J97" i="4"/>
  <c r="I97" i="4"/>
  <c r="K97" i="4" s="1"/>
  <c r="F97" i="4"/>
  <c r="E97" i="4"/>
  <c r="L82" i="5"/>
  <c r="L72" i="5"/>
  <c r="L62" i="5"/>
  <c r="L52" i="5"/>
  <c r="L42" i="5"/>
  <c r="L32" i="5"/>
  <c r="L22" i="5"/>
  <c r="L12" i="5"/>
  <c r="L2" i="5"/>
  <c r="L82" i="4"/>
  <c r="L72" i="4"/>
  <c r="L62" i="4"/>
  <c r="L52" i="4"/>
  <c r="L42" i="4"/>
  <c r="L32" i="4"/>
  <c r="L22" i="4"/>
  <c r="L12" i="4"/>
  <c r="L2" i="4"/>
  <c r="L2" i="3"/>
  <c r="L12" i="3"/>
  <c r="L22" i="3"/>
  <c r="L32" i="3"/>
  <c r="L42" i="3"/>
  <c r="L52" i="3"/>
  <c r="L62" i="3"/>
  <c r="L72" i="3"/>
  <c r="L82" i="3"/>
  <c r="I13" i="3"/>
  <c r="I23" i="3"/>
  <c r="I22" i="3"/>
  <c r="I2" i="3"/>
  <c r="K2" i="3" s="1"/>
  <c r="I88" i="3"/>
  <c r="E2" i="3"/>
  <c r="F2" i="3"/>
  <c r="J2" i="3"/>
  <c r="E3" i="3"/>
  <c r="F3" i="3"/>
  <c r="I3" i="3"/>
  <c r="J3" i="3"/>
  <c r="K3" i="3"/>
  <c r="E4" i="3"/>
  <c r="F4" i="3"/>
  <c r="I4" i="3"/>
  <c r="J4" i="3"/>
  <c r="K4" i="3"/>
  <c r="E5" i="3"/>
  <c r="F5" i="3"/>
  <c r="I5" i="3"/>
  <c r="J5" i="3"/>
  <c r="K5" i="3"/>
  <c r="E6" i="3"/>
  <c r="F6" i="3"/>
  <c r="I6" i="3"/>
  <c r="J6" i="3"/>
  <c r="K6" i="3"/>
  <c r="E7" i="3"/>
  <c r="F7" i="3"/>
  <c r="I7" i="3"/>
  <c r="J7" i="3"/>
  <c r="K7" i="3"/>
  <c r="E8" i="3"/>
  <c r="F8" i="3"/>
  <c r="I8" i="3"/>
  <c r="J8" i="3"/>
  <c r="K8" i="3" s="1"/>
  <c r="E9" i="3"/>
  <c r="F9" i="3"/>
  <c r="I9" i="3"/>
  <c r="J9" i="3"/>
  <c r="K9" i="3"/>
  <c r="E10" i="3"/>
  <c r="F10" i="3"/>
  <c r="I10" i="3"/>
  <c r="J10" i="3"/>
  <c r="K10" i="3"/>
  <c r="E11" i="3"/>
  <c r="F11" i="3"/>
  <c r="I11" i="3"/>
  <c r="J11" i="3"/>
  <c r="K11" i="3"/>
  <c r="L82" i="2"/>
  <c r="L72" i="2"/>
  <c r="L62" i="2"/>
  <c r="L52" i="2"/>
  <c r="L42" i="2"/>
  <c r="L32" i="2"/>
  <c r="L22" i="2"/>
  <c r="L12" i="2"/>
  <c r="M15" i="2" s="1"/>
  <c r="E82" i="2"/>
  <c r="E83" i="2"/>
  <c r="E84" i="2"/>
  <c r="E85" i="2"/>
  <c r="E86" i="2"/>
  <c r="E87" i="2"/>
  <c r="E88" i="2"/>
  <c r="E89" i="2"/>
  <c r="E90" i="2"/>
  <c r="E91" i="2"/>
  <c r="E12" i="2"/>
  <c r="F12" i="2"/>
  <c r="I12" i="2"/>
  <c r="J12" i="2"/>
  <c r="K12" i="2" s="1"/>
  <c r="N12" i="2"/>
  <c r="O12" i="2"/>
  <c r="E13" i="2"/>
  <c r="F13" i="2"/>
  <c r="I13" i="2"/>
  <c r="N13" i="2" s="1"/>
  <c r="J13" i="2"/>
  <c r="O13" i="2"/>
  <c r="E14" i="2"/>
  <c r="F14" i="2"/>
  <c r="I14" i="2"/>
  <c r="K14" i="2" s="1"/>
  <c r="J14" i="2"/>
  <c r="O14" i="2" s="1"/>
  <c r="E15" i="2"/>
  <c r="F15" i="2"/>
  <c r="I15" i="2"/>
  <c r="J15" i="2"/>
  <c r="K15" i="2"/>
  <c r="N15" i="2"/>
  <c r="O15" i="2"/>
  <c r="E16" i="2"/>
  <c r="F16" i="2"/>
  <c r="I16" i="2"/>
  <c r="J16" i="2"/>
  <c r="K16" i="2"/>
  <c r="N16" i="2"/>
  <c r="O16" i="2"/>
  <c r="E17" i="2"/>
  <c r="F17" i="2"/>
  <c r="I17" i="2"/>
  <c r="J17" i="2"/>
  <c r="K17" i="2"/>
  <c r="N17" i="2"/>
  <c r="O17" i="2"/>
  <c r="E18" i="2"/>
  <c r="F18" i="2"/>
  <c r="I18" i="2"/>
  <c r="J18" i="2"/>
  <c r="K18" i="2"/>
  <c r="N18" i="2"/>
  <c r="O18" i="2"/>
  <c r="E19" i="2"/>
  <c r="F19" i="2"/>
  <c r="I19" i="2"/>
  <c r="K19" i="2" s="1"/>
  <c r="J19" i="2"/>
  <c r="O19" i="2" s="1"/>
  <c r="E20" i="2"/>
  <c r="F20" i="2"/>
  <c r="I20" i="2"/>
  <c r="J20" i="2"/>
  <c r="K20" i="2"/>
  <c r="N20" i="2"/>
  <c r="O20" i="2"/>
  <c r="E21" i="2"/>
  <c r="F21" i="2"/>
  <c r="I21" i="2"/>
  <c r="J21" i="2"/>
  <c r="K21" i="2"/>
  <c r="N21" i="2"/>
  <c r="O21" i="2"/>
  <c r="E22" i="2"/>
  <c r="F22" i="2"/>
  <c r="I22" i="2"/>
  <c r="J22" i="2"/>
  <c r="O22" i="2"/>
  <c r="L2" i="2"/>
  <c r="I12" i="3"/>
  <c r="I14" i="3"/>
  <c r="I15" i="3"/>
  <c r="I21" i="3"/>
  <c r="I2" i="5"/>
  <c r="I3" i="5"/>
  <c r="I11" i="5"/>
  <c r="F2" i="5"/>
  <c r="M22" i="2" l="1"/>
  <c r="M20" i="2"/>
  <c r="M16" i="2"/>
  <c r="M18" i="2"/>
  <c r="M12" i="2"/>
  <c r="M21" i="2"/>
  <c r="M17" i="2"/>
  <c r="N22" i="2"/>
  <c r="K22" i="2"/>
  <c r="M13" i="2"/>
  <c r="N19" i="2"/>
  <c r="N14" i="2"/>
  <c r="K13" i="2"/>
  <c r="M19" i="2"/>
  <c r="M14" i="2"/>
  <c r="J91" i="4"/>
  <c r="O91" i="4" s="1"/>
  <c r="I91" i="4"/>
  <c r="N91" i="4" s="1"/>
  <c r="F91" i="4"/>
  <c r="E91" i="4"/>
  <c r="J90" i="4"/>
  <c r="O90" i="4" s="1"/>
  <c r="I90" i="4"/>
  <c r="N90" i="4" s="1"/>
  <c r="F90" i="4"/>
  <c r="E90" i="4"/>
  <c r="J89" i="4"/>
  <c r="O89" i="4" s="1"/>
  <c r="I89" i="4"/>
  <c r="N89" i="4" s="1"/>
  <c r="F89" i="4"/>
  <c r="E89" i="4"/>
  <c r="J88" i="4"/>
  <c r="O88" i="4" s="1"/>
  <c r="I88" i="4"/>
  <c r="N88" i="4" s="1"/>
  <c r="F88" i="4"/>
  <c r="E88" i="4"/>
  <c r="J87" i="4"/>
  <c r="O87" i="4" s="1"/>
  <c r="I87" i="4"/>
  <c r="N87" i="4" s="1"/>
  <c r="F87" i="4"/>
  <c r="E87" i="4"/>
  <c r="J86" i="4"/>
  <c r="O86" i="4" s="1"/>
  <c r="I86" i="4"/>
  <c r="N86" i="4" s="1"/>
  <c r="F86" i="4"/>
  <c r="E86" i="4"/>
  <c r="J85" i="4"/>
  <c r="O85" i="4" s="1"/>
  <c r="I85" i="4"/>
  <c r="N85" i="4" s="1"/>
  <c r="F85" i="4"/>
  <c r="E85" i="4"/>
  <c r="J84" i="4"/>
  <c r="O84" i="4" s="1"/>
  <c r="I84" i="4"/>
  <c r="N84" i="4" s="1"/>
  <c r="F84" i="4"/>
  <c r="E84" i="4"/>
  <c r="J83" i="4"/>
  <c r="O83" i="4" s="1"/>
  <c r="I83" i="4"/>
  <c r="N83" i="4" s="1"/>
  <c r="F83" i="4"/>
  <c r="E83" i="4"/>
  <c r="J82" i="4"/>
  <c r="O82" i="4" s="1"/>
  <c r="I82" i="4"/>
  <c r="N82" i="4" s="1"/>
  <c r="F82" i="4"/>
  <c r="E82" i="4"/>
  <c r="J81" i="4"/>
  <c r="O81" i="4" s="1"/>
  <c r="I81" i="4"/>
  <c r="K81" i="4" s="1"/>
  <c r="F81" i="4"/>
  <c r="E81" i="4"/>
  <c r="J80" i="4"/>
  <c r="O80" i="4" s="1"/>
  <c r="I80" i="4"/>
  <c r="F80" i="4"/>
  <c r="E80" i="4"/>
  <c r="J79" i="4"/>
  <c r="O79" i="4" s="1"/>
  <c r="I79" i="4"/>
  <c r="F79" i="4"/>
  <c r="E79" i="4"/>
  <c r="J78" i="4"/>
  <c r="O78" i="4" s="1"/>
  <c r="I78" i="4"/>
  <c r="K78" i="4" s="1"/>
  <c r="F78" i="4"/>
  <c r="E78" i="4"/>
  <c r="J77" i="4"/>
  <c r="O77" i="4" s="1"/>
  <c r="I77" i="4"/>
  <c r="M77" i="4" s="1"/>
  <c r="F77" i="4"/>
  <c r="E77" i="4"/>
  <c r="J76" i="4"/>
  <c r="O76" i="4" s="1"/>
  <c r="I76" i="4"/>
  <c r="K76" i="4" s="1"/>
  <c r="F76" i="4"/>
  <c r="E76" i="4"/>
  <c r="J75" i="4"/>
  <c r="O75" i="4" s="1"/>
  <c r="I75" i="4"/>
  <c r="F75" i="4"/>
  <c r="E75" i="4"/>
  <c r="J74" i="4"/>
  <c r="O74" i="4" s="1"/>
  <c r="I74" i="4"/>
  <c r="F74" i="4"/>
  <c r="E74" i="4"/>
  <c r="J73" i="4"/>
  <c r="O73" i="4" s="1"/>
  <c r="I73" i="4"/>
  <c r="K73" i="4" s="1"/>
  <c r="F73" i="4"/>
  <c r="E73" i="4"/>
  <c r="M79" i="4"/>
  <c r="J72" i="4"/>
  <c r="O72" i="4" s="1"/>
  <c r="I72" i="4"/>
  <c r="F72" i="4"/>
  <c r="E72" i="4"/>
  <c r="J71" i="4"/>
  <c r="O71" i="4" s="1"/>
  <c r="I71" i="4"/>
  <c r="F71" i="4"/>
  <c r="E71" i="4"/>
  <c r="J70" i="4"/>
  <c r="O70" i="4" s="1"/>
  <c r="I70" i="4"/>
  <c r="K70" i="4" s="1"/>
  <c r="F70" i="4"/>
  <c r="E70" i="4"/>
  <c r="J69" i="4"/>
  <c r="O69" i="4" s="1"/>
  <c r="I69" i="4"/>
  <c r="F69" i="4"/>
  <c r="E69" i="4"/>
  <c r="J68" i="4"/>
  <c r="O68" i="4" s="1"/>
  <c r="I68" i="4"/>
  <c r="F68" i="4"/>
  <c r="E68" i="4"/>
  <c r="J67" i="4"/>
  <c r="O67" i="4" s="1"/>
  <c r="I67" i="4"/>
  <c r="F67" i="4"/>
  <c r="E67" i="4"/>
  <c r="J66" i="4"/>
  <c r="O66" i="4" s="1"/>
  <c r="I66" i="4"/>
  <c r="N66" i="4" s="1"/>
  <c r="F66" i="4"/>
  <c r="E66" i="4"/>
  <c r="J65" i="4"/>
  <c r="O65" i="4" s="1"/>
  <c r="I65" i="4"/>
  <c r="F65" i="4"/>
  <c r="E65" i="4"/>
  <c r="J64" i="4"/>
  <c r="O64" i="4" s="1"/>
  <c r="I64" i="4"/>
  <c r="F64" i="4"/>
  <c r="E64" i="4"/>
  <c r="J63" i="4"/>
  <c r="O63" i="4" s="1"/>
  <c r="I63" i="4"/>
  <c r="N63" i="4" s="1"/>
  <c r="F63" i="4"/>
  <c r="E63" i="4"/>
  <c r="J62" i="4"/>
  <c r="O62" i="4" s="1"/>
  <c r="I62" i="4"/>
  <c r="N62" i="4" s="1"/>
  <c r="F62" i="4"/>
  <c r="E62" i="4"/>
  <c r="J61" i="4"/>
  <c r="O61" i="4" s="1"/>
  <c r="I61" i="4"/>
  <c r="N61" i="4" s="1"/>
  <c r="F61" i="4"/>
  <c r="E61" i="4"/>
  <c r="J60" i="4"/>
  <c r="O60" i="4" s="1"/>
  <c r="I60" i="4"/>
  <c r="N60" i="4" s="1"/>
  <c r="F60" i="4"/>
  <c r="E60" i="4"/>
  <c r="J59" i="4"/>
  <c r="O59" i="4" s="1"/>
  <c r="I59" i="4"/>
  <c r="N59" i="4" s="1"/>
  <c r="F59" i="4"/>
  <c r="E59" i="4"/>
  <c r="O58" i="4"/>
  <c r="J58" i="4"/>
  <c r="I58" i="4"/>
  <c r="N58" i="4" s="1"/>
  <c r="F58" i="4"/>
  <c r="E58" i="4"/>
  <c r="J57" i="4"/>
  <c r="O57" i="4" s="1"/>
  <c r="I57" i="4"/>
  <c r="N57" i="4" s="1"/>
  <c r="F57" i="4"/>
  <c r="E57" i="4"/>
  <c r="J56" i="4"/>
  <c r="O56" i="4" s="1"/>
  <c r="I56" i="4"/>
  <c r="N56" i="4" s="1"/>
  <c r="F56" i="4"/>
  <c r="E56" i="4"/>
  <c r="J55" i="4"/>
  <c r="O55" i="4" s="1"/>
  <c r="I55" i="4"/>
  <c r="N55" i="4" s="1"/>
  <c r="F55" i="4"/>
  <c r="E55" i="4"/>
  <c r="J54" i="4"/>
  <c r="O54" i="4" s="1"/>
  <c r="I54" i="4"/>
  <c r="N54" i="4" s="1"/>
  <c r="F54" i="4"/>
  <c r="E54" i="4"/>
  <c r="J53" i="4"/>
  <c r="O53" i="4" s="1"/>
  <c r="I53" i="4"/>
  <c r="N53" i="4" s="1"/>
  <c r="F53" i="4"/>
  <c r="E53" i="4"/>
  <c r="J52" i="4"/>
  <c r="O52" i="4" s="1"/>
  <c r="I52" i="4"/>
  <c r="N52" i="4" s="1"/>
  <c r="F52" i="4"/>
  <c r="E52" i="4"/>
  <c r="J51" i="4"/>
  <c r="O51" i="4" s="1"/>
  <c r="I51" i="4"/>
  <c r="N51" i="4" s="1"/>
  <c r="F51" i="4"/>
  <c r="E51" i="4"/>
  <c r="J50" i="4"/>
  <c r="O50" i="4" s="1"/>
  <c r="I50" i="4"/>
  <c r="N50" i="4" s="1"/>
  <c r="F50" i="4"/>
  <c r="E50" i="4"/>
  <c r="J49" i="4"/>
  <c r="O49" i="4" s="1"/>
  <c r="I49" i="4"/>
  <c r="N49" i="4" s="1"/>
  <c r="F49" i="4"/>
  <c r="E49" i="4"/>
  <c r="J48" i="4"/>
  <c r="O48" i="4" s="1"/>
  <c r="I48" i="4"/>
  <c r="N48" i="4" s="1"/>
  <c r="F48" i="4"/>
  <c r="E48" i="4"/>
  <c r="J47" i="4"/>
  <c r="O47" i="4" s="1"/>
  <c r="I47" i="4"/>
  <c r="N47" i="4" s="1"/>
  <c r="F47" i="4"/>
  <c r="E47" i="4"/>
  <c r="J46" i="4"/>
  <c r="O46" i="4" s="1"/>
  <c r="I46" i="4"/>
  <c r="N46" i="4" s="1"/>
  <c r="F46" i="4"/>
  <c r="E46" i="4"/>
  <c r="J45" i="4"/>
  <c r="O45" i="4" s="1"/>
  <c r="I45" i="4"/>
  <c r="N45" i="4" s="1"/>
  <c r="F45" i="4"/>
  <c r="E45" i="4"/>
  <c r="J44" i="4"/>
  <c r="O44" i="4" s="1"/>
  <c r="I44" i="4"/>
  <c r="N44" i="4" s="1"/>
  <c r="F44" i="4"/>
  <c r="E44" i="4"/>
  <c r="J43" i="4"/>
  <c r="O43" i="4" s="1"/>
  <c r="I43" i="4"/>
  <c r="N43" i="4" s="1"/>
  <c r="F43" i="4"/>
  <c r="E43" i="4"/>
  <c r="J42" i="4"/>
  <c r="O42" i="4" s="1"/>
  <c r="I42" i="4"/>
  <c r="F42" i="4"/>
  <c r="E42" i="4"/>
  <c r="J41" i="4"/>
  <c r="O41" i="4" s="1"/>
  <c r="I41" i="4"/>
  <c r="F41" i="4"/>
  <c r="E41" i="4"/>
  <c r="J40" i="4"/>
  <c r="O40" i="4" s="1"/>
  <c r="I40" i="4"/>
  <c r="M40" i="4" s="1"/>
  <c r="F40" i="4"/>
  <c r="E40" i="4"/>
  <c r="J39" i="4"/>
  <c r="O39" i="4" s="1"/>
  <c r="I39" i="4"/>
  <c r="F39" i="4"/>
  <c r="E39" i="4"/>
  <c r="J38" i="4"/>
  <c r="O38" i="4" s="1"/>
  <c r="I38" i="4"/>
  <c r="F38" i="4"/>
  <c r="E38" i="4"/>
  <c r="J37" i="4"/>
  <c r="O37" i="4" s="1"/>
  <c r="I37" i="4"/>
  <c r="K37" i="4" s="1"/>
  <c r="F37" i="4"/>
  <c r="E37" i="4"/>
  <c r="J36" i="4"/>
  <c r="O36" i="4" s="1"/>
  <c r="I36" i="4"/>
  <c r="K36" i="4" s="1"/>
  <c r="F36" i="4"/>
  <c r="E36" i="4"/>
  <c r="J35" i="4"/>
  <c r="O35" i="4" s="1"/>
  <c r="I35" i="4"/>
  <c r="F35" i="4"/>
  <c r="E35" i="4"/>
  <c r="J34" i="4"/>
  <c r="O34" i="4" s="1"/>
  <c r="I34" i="4"/>
  <c r="K34" i="4" s="1"/>
  <c r="F34" i="4"/>
  <c r="E34" i="4"/>
  <c r="J33" i="4"/>
  <c r="O33" i="4" s="1"/>
  <c r="I33" i="4"/>
  <c r="F33" i="4"/>
  <c r="E33" i="4"/>
  <c r="J32" i="4"/>
  <c r="O32" i="4" s="1"/>
  <c r="I32" i="4"/>
  <c r="F32" i="4"/>
  <c r="E32" i="4"/>
  <c r="J31" i="4"/>
  <c r="O31" i="4" s="1"/>
  <c r="I31" i="4"/>
  <c r="F31" i="4"/>
  <c r="E31" i="4"/>
  <c r="J30" i="4"/>
  <c r="O30" i="4" s="1"/>
  <c r="I30" i="4"/>
  <c r="N30" i="4" s="1"/>
  <c r="F30" i="4"/>
  <c r="E30" i="4"/>
  <c r="J29" i="4"/>
  <c r="O29" i="4" s="1"/>
  <c r="I29" i="4"/>
  <c r="F29" i="4"/>
  <c r="E29" i="4"/>
  <c r="J28" i="4"/>
  <c r="O28" i="4" s="1"/>
  <c r="I28" i="4"/>
  <c r="K28" i="4" s="1"/>
  <c r="F28" i="4"/>
  <c r="E28" i="4"/>
  <c r="J27" i="4"/>
  <c r="O27" i="4" s="1"/>
  <c r="I27" i="4"/>
  <c r="F27" i="4"/>
  <c r="E27" i="4"/>
  <c r="N26" i="4"/>
  <c r="J26" i="4"/>
  <c r="O26" i="4" s="1"/>
  <c r="I26" i="4"/>
  <c r="F26" i="4"/>
  <c r="E26" i="4"/>
  <c r="J25" i="4"/>
  <c r="O25" i="4" s="1"/>
  <c r="I25" i="4"/>
  <c r="F25" i="4"/>
  <c r="E25" i="4"/>
  <c r="J24" i="4"/>
  <c r="O24" i="4" s="1"/>
  <c r="I24" i="4"/>
  <c r="F24" i="4"/>
  <c r="E24" i="4"/>
  <c r="J23" i="4"/>
  <c r="O23" i="4" s="1"/>
  <c r="I23" i="4"/>
  <c r="F23" i="4"/>
  <c r="E23" i="4"/>
  <c r="J22" i="4"/>
  <c r="O22" i="4" s="1"/>
  <c r="I22" i="4"/>
  <c r="N22" i="4" s="1"/>
  <c r="F22" i="4"/>
  <c r="E22" i="4"/>
  <c r="J21" i="4"/>
  <c r="O21" i="4" s="1"/>
  <c r="I21" i="4"/>
  <c r="N21" i="4" s="1"/>
  <c r="F21" i="4"/>
  <c r="E21" i="4"/>
  <c r="J20" i="4"/>
  <c r="O20" i="4" s="1"/>
  <c r="I20" i="4"/>
  <c r="N20" i="4" s="1"/>
  <c r="F20" i="4"/>
  <c r="E20" i="4"/>
  <c r="J19" i="4"/>
  <c r="O19" i="4" s="1"/>
  <c r="I19" i="4"/>
  <c r="N19" i="4" s="1"/>
  <c r="F19" i="4"/>
  <c r="E19" i="4"/>
  <c r="J18" i="4"/>
  <c r="O18" i="4" s="1"/>
  <c r="I18" i="4"/>
  <c r="N18" i="4" s="1"/>
  <c r="F18" i="4"/>
  <c r="E18" i="4"/>
  <c r="J17" i="4"/>
  <c r="O17" i="4" s="1"/>
  <c r="I17" i="4"/>
  <c r="N17" i="4" s="1"/>
  <c r="F17" i="4"/>
  <c r="E17" i="4"/>
  <c r="J16" i="4"/>
  <c r="O16" i="4" s="1"/>
  <c r="I16" i="4"/>
  <c r="N16" i="4" s="1"/>
  <c r="F16" i="4"/>
  <c r="E16" i="4"/>
  <c r="J15" i="4"/>
  <c r="O15" i="4" s="1"/>
  <c r="I15" i="4"/>
  <c r="N15" i="4" s="1"/>
  <c r="F15" i="4"/>
  <c r="E15" i="4"/>
  <c r="J14" i="4"/>
  <c r="O14" i="4" s="1"/>
  <c r="I14" i="4"/>
  <c r="N14" i="4" s="1"/>
  <c r="F14" i="4"/>
  <c r="E14" i="4"/>
  <c r="J13" i="4"/>
  <c r="O13" i="4" s="1"/>
  <c r="I13" i="4"/>
  <c r="N13" i="4" s="1"/>
  <c r="F13" i="4"/>
  <c r="E13" i="4"/>
  <c r="J12" i="4"/>
  <c r="O12" i="4" s="1"/>
  <c r="I12" i="4"/>
  <c r="F12" i="4"/>
  <c r="E12" i="4"/>
  <c r="J11" i="4"/>
  <c r="O11" i="4" s="1"/>
  <c r="I11" i="4"/>
  <c r="N11" i="4" s="1"/>
  <c r="F11" i="4"/>
  <c r="E11" i="4"/>
  <c r="J10" i="4"/>
  <c r="O10" i="4" s="1"/>
  <c r="I10" i="4"/>
  <c r="K10" i="4" s="1"/>
  <c r="F10" i="4"/>
  <c r="E10" i="4"/>
  <c r="J9" i="4"/>
  <c r="O9" i="4" s="1"/>
  <c r="I9" i="4"/>
  <c r="N9" i="4" s="1"/>
  <c r="F9" i="4"/>
  <c r="E9" i="4"/>
  <c r="J8" i="4"/>
  <c r="O8" i="4" s="1"/>
  <c r="I8" i="4"/>
  <c r="N8" i="4" s="1"/>
  <c r="F8" i="4"/>
  <c r="E8" i="4"/>
  <c r="J7" i="4"/>
  <c r="O7" i="4" s="1"/>
  <c r="I7" i="4"/>
  <c r="N7" i="4" s="1"/>
  <c r="F7" i="4"/>
  <c r="E7" i="4"/>
  <c r="J6" i="4"/>
  <c r="O6" i="4" s="1"/>
  <c r="I6" i="4"/>
  <c r="N6" i="4" s="1"/>
  <c r="F6" i="4"/>
  <c r="E6" i="4"/>
  <c r="J5" i="4"/>
  <c r="O5" i="4" s="1"/>
  <c r="I5" i="4"/>
  <c r="N5" i="4" s="1"/>
  <c r="F5" i="4"/>
  <c r="E5" i="4"/>
  <c r="J4" i="4"/>
  <c r="O4" i="4" s="1"/>
  <c r="I4" i="4"/>
  <c r="N4" i="4" s="1"/>
  <c r="F4" i="4"/>
  <c r="E4" i="4"/>
  <c r="J3" i="4"/>
  <c r="O3" i="4" s="1"/>
  <c r="I3" i="4"/>
  <c r="N3" i="4" s="1"/>
  <c r="F3" i="4"/>
  <c r="E3" i="4"/>
  <c r="J2" i="4"/>
  <c r="O2" i="4" s="1"/>
  <c r="I2" i="4"/>
  <c r="M2" i="4" s="1"/>
  <c r="F2" i="4"/>
  <c r="E2" i="4"/>
  <c r="J91" i="5"/>
  <c r="I91" i="5"/>
  <c r="N91" i="5" s="1"/>
  <c r="F91" i="5"/>
  <c r="E91" i="5"/>
  <c r="J90" i="5"/>
  <c r="I90" i="5"/>
  <c r="N90" i="5" s="1"/>
  <c r="F90" i="5"/>
  <c r="E90" i="5"/>
  <c r="J89" i="5"/>
  <c r="I89" i="5"/>
  <c r="N89" i="5" s="1"/>
  <c r="F89" i="5"/>
  <c r="E89" i="5"/>
  <c r="J88" i="5"/>
  <c r="I88" i="5"/>
  <c r="N88" i="5" s="1"/>
  <c r="F88" i="5"/>
  <c r="E88" i="5"/>
  <c r="J87" i="5"/>
  <c r="I87" i="5"/>
  <c r="N87" i="5" s="1"/>
  <c r="F87" i="5"/>
  <c r="E87" i="5"/>
  <c r="J86" i="5"/>
  <c r="I86" i="5"/>
  <c r="N86" i="5" s="1"/>
  <c r="F86" i="5"/>
  <c r="E86" i="5"/>
  <c r="J85" i="5"/>
  <c r="I85" i="5"/>
  <c r="N85" i="5" s="1"/>
  <c r="F85" i="5"/>
  <c r="E85" i="5"/>
  <c r="J84" i="5"/>
  <c r="O84" i="5" s="1"/>
  <c r="I84" i="5"/>
  <c r="N84" i="5" s="1"/>
  <c r="F84" i="5"/>
  <c r="E84" i="5"/>
  <c r="J83" i="5"/>
  <c r="I83" i="5"/>
  <c r="N83" i="5" s="1"/>
  <c r="F83" i="5"/>
  <c r="E83" i="5"/>
  <c r="J82" i="5"/>
  <c r="O82" i="5" s="1"/>
  <c r="I82" i="5"/>
  <c r="N82" i="5" s="1"/>
  <c r="F82" i="5"/>
  <c r="E82" i="5"/>
  <c r="J81" i="5"/>
  <c r="O81" i="5" s="1"/>
  <c r="I81" i="5"/>
  <c r="N81" i="5" s="1"/>
  <c r="F81" i="5"/>
  <c r="E81" i="5"/>
  <c r="J80" i="5"/>
  <c r="O80" i="5" s="1"/>
  <c r="I80" i="5"/>
  <c r="N80" i="5" s="1"/>
  <c r="F80" i="5"/>
  <c r="E80" i="5"/>
  <c r="J79" i="5"/>
  <c r="O79" i="5" s="1"/>
  <c r="I79" i="5"/>
  <c r="N79" i="5" s="1"/>
  <c r="F79" i="5"/>
  <c r="E79" i="5"/>
  <c r="J78" i="5"/>
  <c r="O78" i="5" s="1"/>
  <c r="I78" i="5"/>
  <c r="N78" i="5" s="1"/>
  <c r="F78" i="5"/>
  <c r="E78" i="5"/>
  <c r="J77" i="5"/>
  <c r="O77" i="5" s="1"/>
  <c r="I77" i="5"/>
  <c r="N77" i="5" s="1"/>
  <c r="F77" i="5"/>
  <c r="E77" i="5"/>
  <c r="J76" i="5"/>
  <c r="O76" i="5" s="1"/>
  <c r="I76" i="5"/>
  <c r="N76" i="5" s="1"/>
  <c r="F76" i="5"/>
  <c r="E76" i="5"/>
  <c r="J75" i="5"/>
  <c r="O75" i="5" s="1"/>
  <c r="I75" i="5"/>
  <c r="N75" i="5" s="1"/>
  <c r="F75" i="5"/>
  <c r="E75" i="5"/>
  <c r="J74" i="5"/>
  <c r="O74" i="5" s="1"/>
  <c r="I74" i="5"/>
  <c r="N74" i="5" s="1"/>
  <c r="F74" i="5"/>
  <c r="E74" i="5"/>
  <c r="J73" i="5"/>
  <c r="O73" i="5" s="1"/>
  <c r="I73" i="5"/>
  <c r="N73" i="5" s="1"/>
  <c r="F73" i="5"/>
  <c r="E73" i="5"/>
  <c r="J72" i="5"/>
  <c r="O72" i="5" s="1"/>
  <c r="F72" i="5"/>
  <c r="E72" i="5"/>
  <c r="J71" i="5"/>
  <c r="O71" i="5" s="1"/>
  <c r="I71" i="5"/>
  <c r="M71" i="5" s="1"/>
  <c r="F71" i="5"/>
  <c r="E71" i="5"/>
  <c r="J70" i="5"/>
  <c r="O70" i="5" s="1"/>
  <c r="I70" i="5"/>
  <c r="F70" i="5"/>
  <c r="E70" i="5"/>
  <c r="J69" i="5"/>
  <c r="O69" i="5" s="1"/>
  <c r="I69" i="5"/>
  <c r="F69" i="5"/>
  <c r="E69" i="5"/>
  <c r="J68" i="5"/>
  <c r="O68" i="5" s="1"/>
  <c r="I68" i="5"/>
  <c r="F68" i="5"/>
  <c r="E68" i="5"/>
  <c r="J67" i="5"/>
  <c r="O67" i="5" s="1"/>
  <c r="I67" i="5"/>
  <c r="F67" i="5"/>
  <c r="E67" i="5"/>
  <c r="J66" i="5"/>
  <c r="O66" i="5" s="1"/>
  <c r="I66" i="5"/>
  <c r="F66" i="5"/>
  <c r="E66" i="5"/>
  <c r="J65" i="5"/>
  <c r="O65" i="5" s="1"/>
  <c r="I65" i="5"/>
  <c r="M65" i="5" s="1"/>
  <c r="F65" i="5"/>
  <c r="E65" i="5"/>
  <c r="J64" i="5"/>
  <c r="O64" i="5" s="1"/>
  <c r="I64" i="5"/>
  <c r="F64" i="5"/>
  <c r="E64" i="5"/>
  <c r="J63" i="5"/>
  <c r="O63" i="5" s="1"/>
  <c r="I63" i="5"/>
  <c r="F63" i="5"/>
  <c r="E63" i="5"/>
  <c r="J62" i="5"/>
  <c r="O62" i="5" s="1"/>
  <c r="I62" i="5"/>
  <c r="F62" i="5"/>
  <c r="E62" i="5"/>
  <c r="J61" i="5"/>
  <c r="O61" i="5" s="1"/>
  <c r="I61" i="5"/>
  <c r="F61" i="5"/>
  <c r="E61" i="5"/>
  <c r="J60" i="5"/>
  <c r="O60" i="5" s="1"/>
  <c r="I60" i="5"/>
  <c r="N60" i="5" s="1"/>
  <c r="F60" i="5"/>
  <c r="E60" i="5"/>
  <c r="J59" i="5"/>
  <c r="O59" i="5" s="1"/>
  <c r="I59" i="5"/>
  <c r="F59" i="5"/>
  <c r="E59" i="5"/>
  <c r="J58" i="5"/>
  <c r="O58" i="5" s="1"/>
  <c r="I58" i="5"/>
  <c r="F58" i="5"/>
  <c r="E58" i="5"/>
  <c r="J57" i="5"/>
  <c r="O57" i="5" s="1"/>
  <c r="I57" i="5"/>
  <c r="F57" i="5"/>
  <c r="E57" i="5"/>
  <c r="J56" i="5"/>
  <c r="O56" i="5" s="1"/>
  <c r="I56" i="5"/>
  <c r="K56" i="5" s="1"/>
  <c r="F56" i="5"/>
  <c r="E56" i="5"/>
  <c r="J55" i="5"/>
  <c r="O55" i="5" s="1"/>
  <c r="I55" i="5"/>
  <c r="F55" i="5"/>
  <c r="E55" i="5"/>
  <c r="J54" i="5"/>
  <c r="O54" i="5" s="1"/>
  <c r="I54" i="5"/>
  <c r="N54" i="5" s="1"/>
  <c r="F54" i="5"/>
  <c r="E54" i="5"/>
  <c r="J53" i="5"/>
  <c r="O53" i="5" s="1"/>
  <c r="I53" i="5"/>
  <c r="N53" i="5" s="1"/>
  <c r="F53" i="5"/>
  <c r="E53" i="5"/>
  <c r="J52" i="5"/>
  <c r="O52" i="5" s="1"/>
  <c r="I52" i="5"/>
  <c r="N52" i="5" s="1"/>
  <c r="F52" i="5"/>
  <c r="E52" i="5"/>
  <c r="J51" i="5"/>
  <c r="I51" i="5"/>
  <c r="N51" i="5" s="1"/>
  <c r="F51" i="5"/>
  <c r="E51" i="5"/>
  <c r="J50" i="5"/>
  <c r="O50" i="5" s="1"/>
  <c r="I50" i="5"/>
  <c r="N50" i="5" s="1"/>
  <c r="F50" i="5"/>
  <c r="E50" i="5"/>
  <c r="J49" i="5"/>
  <c r="O49" i="5" s="1"/>
  <c r="I49" i="5"/>
  <c r="N49" i="5" s="1"/>
  <c r="F49" i="5"/>
  <c r="E49" i="5"/>
  <c r="J48" i="5"/>
  <c r="O48" i="5" s="1"/>
  <c r="I48" i="5"/>
  <c r="N48" i="5" s="1"/>
  <c r="F48" i="5"/>
  <c r="E48" i="5"/>
  <c r="J47" i="5"/>
  <c r="O47" i="5" s="1"/>
  <c r="I47" i="5"/>
  <c r="N47" i="5" s="1"/>
  <c r="F47" i="5"/>
  <c r="E47" i="5"/>
  <c r="J46" i="5"/>
  <c r="O46" i="5" s="1"/>
  <c r="I46" i="5"/>
  <c r="N46" i="5" s="1"/>
  <c r="F46" i="5"/>
  <c r="E46" i="5"/>
  <c r="J45" i="5"/>
  <c r="O45" i="5" s="1"/>
  <c r="I45" i="5"/>
  <c r="N45" i="5" s="1"/>
  <c r="F45" i="5"/>
  <c r="E45" i="5"/>
  <c r="J44" i="5"/>
  <c r="O44" i="5" s="1"/>
  <c r="I44" i="5"/>
  <c r="N44" i="5" s="1"/>
  <c r="F44" i="5"/>
  <c r="E44" i="5"/>
  <c r="J43" i="5"/>
  <c r="I43" i="5"/>
  <c r="N43" i="5" s="1"/>
  <c r="F43" i="5"/>
  <c r="E43" i="5"/>
  <c r="M51" i="5"/>
  <c r="J42" i="5"/>
  <c r="O42" i="5" s="1"/>
  <c r="I42" i="5"/>
  <c r="N42" i="5" s="1"/>
  <c r="F42" i="5"/>
  <c r="E42" i="5"/>
  <c r="J41" i="5"/>
  <c r="O41" i="5" s="1"/>
  <c r="I41" i="5"/>
  <c r="K41" i="5" s="1"/>
  <c r="F41" i="5"/>
  <c r="E41" i="5"/>
  <c r="J40" i="5"/>
  <c r="O40" i="5" s="1"/>
  <c r="I40" i="5"/>
  <c r="N40" i="5" s="1"/>
  <c r="F40" i="5"/>
  <c r="E40" i="5"/>
  <c r="J39" i="5"/>
  <c r="O39" i="5" s="1"/>
  <c r="I39" i="5"/>
  <c r="N39" i="5" s="1"/>
  <c r="F39" i="5"/>
  <c r="E39" i="5"/>
  <c r="J38" i="5"/>
  <c r="O38" i="5" s="1"/>
  <c r="I38" i="5"/>
  <c r="F38" i="5"/>
  <c r="E38" i="5"/>
  <c r="J37" i="5"/>
  <c r="O37" i="5" s="1"/>
  <c r="I37" i="5"/>
  <c r="F37" i="5"/>
  <c r="E37" i="5"/>
  <c r="J36" i="5"/>
  <c r="O36" i="5" s="1"/>
  <c r="I36" i="5"/>
  <c r="N36" i="5" s="1"/>
  <c r="F36" i="5"/>
  <c r="E36" i="5"/>
  <c r="J35" i="5"/>
  <c r="O35" i="5" s="1"/>
  <c r="I35" i="5"/>
  <c r="N35" i="5" s="1"/>
  <c r="F35" i="5"/>
  <c r="E35" i="5"/>
  <c r="J34" i="5"/>
  <c r="O34" i="5" s="1"/>
  <c r="I34" i="5"/>
  <c r="K34" i="5" s="1"/>
  <c r="F34" i="5"/>
  <c r="E34" i="5"/>
  <c r="J33" i="5"/>
  <c r="O33" i="5" s="1"/>
  <c r="I33" i="5"/>
  <c r="K33" i="5" s="1"/>
  <c r="F33" i="5"/>
  <c r="E33" i="5"/>
  <c r="J32" i="5"/>
  <c r="O32" i="5" s="1"/>
  <c r="I32" i="5"/>
  <c r="F32" i="5"/>
  <c r="E32" i="5"/>
  <c r="J31" i="5"/>
  <c r="O31" i="5" s="1"/>
  <c r="I31" i="5"/>
  <c r="N31" i="5" s="1"/>
  <c r="F31" i="5"/>
  <c r="E31" i="5"/>
  <c r="J30" i="5"/>
  <c r="O30" i="5" s="1"/>
  <c r="I30" i="5"/>
  <c r="F30" i="5"/>
  <c r="E30" i="5"/>
  <c r="J29" i="5"/>
  <c r="O29" i="5" s="1"/>
  <c r="I29" i="5"/>
  <c r="F29" i="5"/>
  <c r="E29" i="5"/>
  <c r="J28" i="5"/>
  <c r="O28" i="5" s="1"/>
  <c r="I28" i="5"/>
  <c r="N28" i="5" s="1"/>
  <c r="F28" i="5"/>
  <c r="E28" i="5"/>
  <c r="J27" i="5"/>
  <c r="O27" i="5" s="1"/>
  <c r="I27" i="5"/>
  <c r="N27" i="5" s="1"/>
  <c r="F27" i="5"/>
  <c r="E27" i="5"/>
  <c r="J26" i="5"/>
  <c r="O26" i="5" s="1"/>
  <c r="I26" i="5"/>
  <c r="K26" i="5" s="1"/>
  <c r="F26" i="5"/>
  <c r="E26" i="5"/>
  <c r="J25" i="5"/>
  <c r="O25" i="5" s="1"/>
  <c r="I25" i="5"/>
  <c r="N25" i="5" s="1"/>
  <c r="F25" i="5"/>
  <c r="E25" i="5"/>
  <c r="J24" i="5"/>
  <c r="O24" i="5" s="1"/>
  <c r="I24" i="5"/>
  <c r="N24" i="5" s="1"/>
  <c r="F24" i="5"/>
  <c r="E24" i="5"/>
  <c r="J23" i="5"/>
  <c r="O23" i="5" s="1"/>
  <c r="I23" i="5"/>
  <c r="N23" i="5" s="1"/>
  <c r="F23" i="5"/>
  <c r="E23" i="5"/>
  <c r="J22" i="5"/>
  <c r="O22" i="5" s="1"/>
  <c r="I22" i="5"/>
  <c r="M22" i="5" s="1"/>
  <c r="F22" i="5"/>
  <c r="E22" i="5"/>
  <c r="J21" i="5"/>
  <c r="O21" i="5" s="1"/>
  <c r="I21" i="5"/>
  <c r="N21" i="5" s="1"/>
  <c r="F21" i="5"/>
  <c r="E21" i="5"/>
  <c r="J20" i="5"/>
  <c r="O20" i="5" s="1"/>
  <c r="I20" i="5"/>
  <c r="N20" i="5" s="1"/>
  <c r="F20" i="5"/>
  <c r="E20" i="5"/>
  <c r="J19" i="5"/>
  <c r="O19" i="5" s="1"/>
  <c r="I19" i="5"/>
  <c r="F19" i="5"/>
  <c r="E19" i="5"/>
  <c r="J18" i="5"/>
  <c r="O18" i="5" s="1"/>
  <c r="I18" i="5"/>
  <c r="N18" i="5" s="1"/>
  <c r="F18" i="5"/>
  <c r="E18" i="5"/>
  <c r="J17" i="5"/>
  <c r="O17" i="5" s="1"/>
  <c r="I17" i="5"/>
  <c r="N17" i="5" s="1"/>
  <c r="F17" i="5"/>
  <c r="E17" i="5"/>
  <c r="J16" i="5"/>
  <c r="O16" i="5" s="1"/>
  <c r="I16" i="5"/>
  <c r="N16" i="5" s="1"/>
  <c r="F16" i="5"/>
  <c r="E16" i="5"/>
  <c r="J15" i="5"/>
  <c r="O15" i="5" s="1"/>
  <c r="I15" i="5"/>
  <c r="N15" i="5" s="1"/>
  <c r="F15" i="5"/>
  <c r="E15" i="5"/>
  <c r="J14" i="5"/>
  <c r="O14" i="5" s="1"/>
  <c r="I14" i="5"/>
  <c r="N14" i="5" s="1"/>
  <c r="F14" i="5"/>
  <c r="E14" i="5"/>
  <c r="J13" i="5"/>
  <c r="O13" i="5" s="1"/>
  <c r="I13" i="5"/>
  <c r="N13" i="5" s="1"/>
  <c r="F13" i="5"/>
  <c r="E13" i="5"/>
  <c r="J12" i="5"/>
  <c r="I12" i="5"/>
  <c r="N12" i="5" s="1"/>
  <c r="F12" i="5"/>
  <c r="E12" i="5"/>
  <c r="J11" i="5"/>
  <c r="N11" i="5"/>
  <c r="F11" i="5"/>
  <c r="E11" i="5"/>
  <c r="J10" i="5"/>
  <c r="O10" i="5" s="1"/>
  <c r="I10" i="5"/>
  <c r="N10" i="5" s="1"/>
  <c r="F10" i="5"/>
  <c r="E10" i="5"/>
  <c r="J9" i="5"/>
  <c r="O9" i="5" s="1"/>
  <c r="I9" i="5"/>
  <c r="N9" i="5" s="1"/>
  <c r="F9" i="5"/>
  <c r="E9" i="5"/>
  <c r="J8" i="5"/>
  <c r="O8" i="5" s="1"/>
  <c r="I8" i="5"/>
  <c r="N8" i="5" s="1"/>
  <c r="F8" i="5"/>
  <c r="E8" i="5"/>
  <c r="J7" i="5"/>
  <c r="O7" i="5" s="1"/>
  <c r="I7" i="5"/>
  <c r="N7" i="5" s="1"/>
  <c r="F7" i="5"/>
  <c r="E7" i="5"/>
  <c r="J6" i="5"/>
  <c r="O6" i="5" s="1"/>
  <c r="I6" i="5"/>
  <c r="F6" i="5"/>
  <c r="E6" i="5"/>
  <c r="J5" i="5"/>
  <c r="O5" i="5" s="1"/>
  <c r="I5" i="5"/>
  <c r="F5" i="5"/>
  <c r="E5" i="5"/>
  <c r="J4" i="5"/>
  <c r="O4" i="5" s="1"/>
  <c r="I4" i="5"/>
  <c r="F4" i="5"/>
  <c r="E4" i="5"/>
  <c r="J3" i="5"/>
  <c r="O3" i="5" s="1"/>
  <c r="M3" i="5"/>
  <c r="F3" i="5"/>
  <c r="E3" i="5"/>
  <c r="N2" i="5"/>
  <c r="M11" i="5"/>
  <c r="J2" i="5"/>
  <c r="O2" i="5" s="1"/>
  <c r="E2" i="5"/>
  <c r="K80" i="4" l="1"/>
  <c r="K29" i="4"/>
  <c r="K90" i="5"/>
  <c r="K37" i="5"/>
  <c r="K12" i="5"/>
  <c r="K91" i="5"/>
  <c r="K83" i="5"/>
  <c r="K87" i="5"/>
  <c r="K61" i="5"/>
  <c r="M24" i="5"/>
  <c r="M91" i="5"/>
  <c r="K4" i="5"/>
  <c r="K12" i="4"/>
  <c r="M15" i="4"/>
  <c r="M38" i="4"/>
  <c r="K67" i="4"/>
  <c r="M61" i="4"/>
  <c r="K19" i="5"/>
  <c r="K88" i="4"/>
  <c r="K30" i="4"/>
  <c r="K41" i="4"/>
  <c r="K85" i="5"/>
  <c r="K43" i="5"/>
  <c r="K63" i="5"/>
  <c r="K85" i="4"/>
  <c r="K27" i="4"/>
  <c r="K42" i="4"/>
  <c r="K49" i="4"/>
  <c r="K75" i="4"/>
  <c r="K64" i="5"/>
  <c r="K64" i="4"/>
  <c r="K68" i="5"/>
  <c r="K39" i="4"/>
  <c r="K46" i="4"/>
  <c r="K68" i="4"/>
  <c r="K88" i="5"/>
  <c r="M75" i="4"/>
  <c r="K65" i="4"/>
  <c r="N10" i="4"/>
  <c r="M33" i="4"/>
  <c r="K69" i="4"/>
  <c r="K86" i="5"/>
  <c r="O87" i="5"/>
  <c r="K79" i="5"/>
  <c r="K72" i="5"/>
  <c r="K67" i="5"/>
  <c r="K71" i="5"/>
  <c r="K66" i="5"/>
  <c r="K70" i="5"/>
  <c r="K59" i="5"/>
  <c r="K57" i="5"/>
  <c r="K46" i="5"/>
  <c r="K49" i="5"/>
  <c r="M46" i="5"/>
  <c r="M49" i="5"/>
  <c r="O43" i="5"/>
  <c r="K36" i="5"/>
  <c r="K30" i="5"/>
  <c r="M28" i="5"/>
  <c r="M23" i="5"/>
  <c r="K29" i="5"/>
  <c r="N29" i="5"/>
  <c r="K18" i="5"/>
  <c r="K9" i="5"/>
  <c r="K81" i="5"/>
  <c r="M34" i="4"/>
  <c r="K6" i="5"/>
  <c r="M9" i="5"/>
  <c r="K55" i="5"/>
  <c r="M68" i="5"/>
  <c r="K40" i="4"/>
  <c r="K66" i="4"/>
  <c r="K79" i="4"/>
  <c r="M27" i="5"/>
  <c r="K69" i="5"/>
  <c r="K78" i="5"/>
  <c r="K8" i="4"/>
  <c r="K24" i="4"/>
  <c r="K31" i="4"/>
  <c r="M37" i="4"/>
  <c r="K63" i="4"/>
  <c r="M76" i="4"/>
  <c r="K89" i="4"/>
  <c r="K40" i="5"/>
  <c r="O91" i="5"/>
  <c r="K50" i="4"/>
  <c r="M10" i="5"/>
  <c r="N19" i="5"/>
  <c r="K25" i="5"/>
  <c r="K47" i="5"/>
  <c r="K50" i="5"/>
  <c r="N56" i="5"/>
  <c r="K60" i="5"/>
  <c r="M66" i="5"/>
  <c r="K38" i="4"/>
  <c r="K47" i="4"/>
  <c r="M53" i="4"/>
  <c r="K77" i="4"/>
  <c r="K86" i="4"/>
  <c r="M14" i="4"/>
  <c r="N22" i="5"/>
  <c r="K38" i="5"/>
  <c r="M50" i="5"/>
  <c r="M63" i="5"/>
  <c r="K82" i="5"/>
  <c r="K2" i="4"/>
  <c r="K25" i="4"/>
  <c r="K35" i="4"/>
  <c r="M41" i="4"/>
  <c r="K44" i="4"/>
  <c r="N67" i="4"/>
  <c r="K71" i="4"/>
  <c r="K74" i="4"/>
  <c r="M80" i="4"/>
  <c r="K83" i="4"/>
  <c r="N72" i="5"/>
  <c r="M31" i="5"/>
  <c r="K76" i="5"/>
  <c r="K89" i="5"/>
  <c r="N2" i="4"/>
  <c r="N25" i="4"/>
  <c r="M35" i="4"/>
  <c r="N71" i="4"/>
  <c r="M74" i="4"/>
  <c r="M21" i="4"/>
  <c r="K45" i="5"/>
  <c r="M70" i="5"/>
  <c r="K73" i="5"/>
  <c r="K51" i="4"/>
  <c r="K90" i="4"/>
  <c r="K84" i="5"/>
  <c r="K10" i="5"/>
  <c r="K11" i="5"/>
  <c r="K14" i="5"/>
  <c r="K35" i="5"/>
  <c r="M45" i="5"/>
  <c r="N57" i="5"/>
  <c r="M67" i="5"/>
  <c r="M31" i="4"/>
  <c r="N29" i="4"/>
  <c r="K48" i="4"/>
  <c r="K87" i="4"/>
  <c r="K5" i="5"/>
  <c r="O11" i="5"/>
  <c r="K51" i="5"/>
  <c r="K54" i="5"/>
  <c r="M64" i="5"/>
  <c r="K26" i="4"/>
  <c r="K45" i="4"/>
  <c r="M72" i="4"/>
  <c r="M81" i="4"/>
  <c r="K84" i="4"/>
  <c r="K75" i="5"/>
  <c r="M73" i="4"/>
  <c r="K39" i="5"/>
  <c r="O51" i="5"/>
  <c r="N61" i="5"/>
  <c r="K80" i="5"/>
  <c r="K33" i="4"/>
  <c r="M39" i="4"/>
  <c r="N42" i="4"/>
  <c r="K62" i="4"/>
  <c r="M78" i="4"/>
  <c r="K43" i="4"/>
  <c r="K22" i="5"/>
  <c r="M69" i="5"/>
  <c r="M2" i="5"/>
  <c r="M38" i="5"/>
  <c r="K58" i="5"/>
  <c r="K77" i="5"/>
  <c r="O83" i="5"/>
  <c r="M13" i="4"/>
  <c r="M36" i="4"/>
  <c r="N70" i="4"/>
  <c r="O88" i="5"/>
  <c r="K15" i="5"/>
  <c r="K65" i="5"/>
  <c r="K74" i="5"/>
  <c r="M16" i="4"/>
  <c r="K23" i="4"/>
  <c r="K52" i="4"/>
  <c r="M71" i="4"/>
  <c r="K82" i="4"/>
  <c r="K91" i="4"/>
  <c r="K32" i="4"/>
  <c r="N32" i="4"/>
  <c r="M11" i="4"/>
  <c r="M10" i="4"/>
  <c r="M9" i="4"/>
  <c r="M8" i="4"/>
  <c r="M7" i="4"/>
  <c r="K3" i="4"/>
  <c r="K4" i="4"/>
  <c r="K5" i="4"/>
  <c r="K6" i="4"/>
  <c r="K7" i="4"/>
  <c r="K9" i="4"/>
  <c r="K11" i="4"/>
  <c r="N12" i="4"/>
  <c r="M12" i="4"/>
  <c r="K22" i="4"/>
  <c r="N23" i="4"/>
  <c r="N27" i="4"/>
  <c r="N31" i="4"/>
  <c r="N64" i="4"/>
  <c r="N68" i="4"/>
  <c r="M91" i="4"/>
  <c r="M90" i="4"/>
  <c r="M89" i="4"/>
  <c r="M88" i="4"/>
  <c r="M87" i="4"/>
  <c r="M86" i="4"/>
  <c r="M85" i="4"/>
  <c r="M84" i="4"/>
  <c r="M83" i="4"/>
  <c r="M82" i="4"/>
  <c r="M3" i="4"/>
  <c r="M4" i="4"/>
  <c r="M5" i="4"/>
  <c r="M6" i="4"/>
  <c r="N24" i="4"/>
  <c r="N28" i="4"/>
  <c r="M51" i="4"/>
  <c r="M50" i="4"/>
  <c r="M49" i="4"/>
  <c r="M48" i="4"/>
  <c r="M47" i="4"/>
  <c r="M46" i="4"/>
  <c r="M45" i="4"/>
  <c r="M44" i="4"/>
  <c r="M43" i="4"/>
  <c r="M42" i="4"/>
  <c r="N65" i="4"/>
  <c r="N69" i="4"/>
  <c r="M32" i="4"/>
  <c r="K72" i="4"/>
  <c r="N72" i="4"/>
  <c r="K13" i="4"/>
  <c r="K14" i="4"/>
  <c r="K15" i="4"/>
  <c r="K16" i="4"/>
  <c r="K17" i="4"/>
  <c r="K18" i="4"/>
  <c r="K19" i="4"/>
  <c r="K20" i="4"/>
  <c r="K21" i="4"/>
  <c r="N33" i="4"/>
  <c r="N34" i="4"/>
  <c r="N35" i="4"/>
  <c r="N36" i="4"/>
  <c r="N37" i="4"/>
  <c r="N38" i="4"/>
  <c r="N39" i="4"/>
  <c r="N40" i="4"/>
  <c r="N41" i="4"/>
  <c r="K53" i="4"/>
  <c r="K54" i="4"/>
  <c r="K55" i="4"/>
  <c r="K56" i="4"/>
  <c r="K57" i="4"/>
  <c r="K58" i="4"/>
  <c r="K59" i="4"/>
  <c r="K60" i="4"/>
  <c r="K61" i="4"/>
  <c r="N73" i="4"/>
  <c r="N74" i="4"/>
  <c r="N75" i="4"/>
  <c r="N76" i="4"/>
  <c r="N77" i="4"/>
  <c r="N78" i="4"/>
  <c r="N79" i="4"/>
  <c r="N80" i="4"/>
  <c r="N81" i="4"/>
  <c r="M17" i="4"/>
  <c r="M18" i="4"/>
  <c r="M19" i="4"/>
  <c r="M20" i="4"/>
  <c r="M52" i="4"/>
  <c r="M54" i="4"/>
  <c r="M55" i="4"/>
  <c r="M56" i="4"/>
  <c r="M57" i="4"/>
  <c r="M58" i="4"/>
  <c r="M59" i="4"/>
  <c r="M60" i="4"/>
  <c r="M22" i="4"/>
  <c r="M23" i="4"/>
  <c r="M24" i="4"/>
  <c r="M25" i="4"/>
  <c r="M26" i="4"/>
  <c r="M27" i="4"/>
  <c r="M28" i="4"/>
  <c r="M29" i="4"/>
  <c r="M30" i="4"/>
  <c r="M62" i="4"/>
  <c r="M63" i="4"/>
  <c r="M64" i="4"/>
  <c r="M65" i="4"/>
  <c r="M66" i="4"/>
  <c r="M67" i="4"/>
  <c r="M68" i="4"/>
  <c r="M69" i="4"/>
  <c r="M70" i="4"/>
  <c r="N3" i="5"/>
  <c r="N4" i="5"/>
  <c r="N5" i="5"/>
  <c r="N6" i="5"/>
  <c r="O12" i="5"/>
  <c r="M33" i="5"/>
  <c r="N34" i="5"/>
  <c r="M37" i="5"/>
  <c r="N38" i="5"/>
  <c r="M41" i="5"/>
  <c r="M42" i="5"/>
  <c r="K62" i="5"/>
  <c r="N62" i="5"/>
  <c r="K2" i="5"/>
  <c r="K13" i="5"/>
  <c r="K17" i="5"/>
  <c r="M40" i="5"/>
  <c r="N41" i="5"/>
  <c r="K48" i="5"/>
  <c r="K52" i="5"/>
  <c r="K53" i="5"/>
  <c r="O89" i="5"/>
  <c r="K3" i="5"/>
  <c r="K7" i="5"/>
  <c r="M8" i="5"/>
  <c r="M21" i="5"/>
  <c r="M20" i="5"/>
  <c r="M19" i="5"/>
  <c r="M18" i="5"/>
  <c r="M17" i="5"/>
  <c r="M16" i="5"/>
  <c r="M15" i="5"/>
  <c r="M14" i="5"/>
  <c r="M13" i="5"/>
  <c r="M12" i="5"/>
  <c r="K16" i="5"/>
  <c r="K20" i="5"/>
  <c r="K24" i="5"/>
  <c r="M26" i="5"/>
  <c r="K28" i="5"/>
  <c r="M30" i="5"/>
  <c r="K32" i="5"/>
  <c r="N32" i="5"/>
  <c r="M35" i="5"/>
  <c r="M39" i="5"/>
  <c r="K42" i="5"/>
  <c r="M44" i="5"/>
  <c r="M48" i="5"/>
  <c r="M61" i="5"/>
  <c r="M60" i="5"/>
  <c r="M59" i="5"/>
  <c r="M58" i="5"/>
  <c r="M57" i="5"/>
  <c r="M56" i="5"/>
  <c r="M55" i="5"/>
  <c r="M54" i="5"/>
  <c r="M53" i="5"/>
  <c r="M52" i="5"/>
  <c r="N58" i="5"/>
  <c r="O86" i="5"/>
  <c r="O90" i="5"/>
  <c r="K8" i="5"/>
  <c r="K21" i="5"/>
  <c r="M32" i="5"/>
  <c r="N33" i="5"/>
  <c r="M36" i="5"/>
  <c r="N37" i="5"/>
  <c r="K44" i="5"/>
  <c r="M81" i="5"/>
  <c r="M80" i="5"/>
  <c r="M79" i="5"/>
  <c r="M78" i="5"/>
  <c r="M77" i="5"/>
  <c r="M76" i="5"/>
  <c r="M75" i="5"/>
  <c r="M74" i="5"/>
  <c r="M73" i="5"/>
  <c r="M72" i="5"/>
  <c r="O85" i="5"/>
  <c r="M4" i="5"/>
  <c r="M5" i="5"/>
  <c r="M6" i="5"/>
  <c r="M7" i="5"/>
  <c r="K23" i="5"/>
  <c r="M25" i="5"/>
  <c r="N26" i="5"/>
  <c r="K27" i="5"/>
  <c r="M29" i="5"/>
  <c r="N30" i="5"/>
  <c r="K31" i="5"/>
  <c r="M34" i="5"/>
  <c r="M43" i="5"/>
  <c r="M47" i="5"/>
  <c r="N55" i="5"/>
  <c r="N59" i="5"/>
  <c r="M62" i="5"/>
  <c r="N63" i="5"/>
  <c r="N64" i="5"/>
  <c r="N65" i="5"/>
  <c r="N66" i="5"/>
  <c r="N67" i="5"/>
  <c r="N68" i="5"/>
  <c r="N69" i="5"/>
  <c r="N70" i="5"/>
  <c r="N71" i="5"/>
  <c r="M82" i="5"/>
  <c r="M83" i="5"/>
  <c r="M84" i="5"/>
  <c r="M85" i="5"/>
  <c r="M86" i="5"/>
  <c r="M87" i="5"/>
  <c r="M88" i="5"/>
  <c r="M89" i="5"/>
  <c r="M90" i="5"/>
  <c r="J91" i="2" l="1"/>
  <c r="O91" i="2" s="1"/>
  <c r="I91" i="2"/>
  <c r="N91" i="2" s="1"/>
  <c r="F91" i="2"/>
  <c r="J90" i="2"/>
  <c r="O90" i="2" s="1"/>
  <c r="I90" i="2"/>
  <c r="N90" i="2" s="1"/>
  <c r="F90" i="2"/>
  <c r="J89" i="2"/>
  <c r="O89" i="2" s="1"/>
  <c r="I89" i="2"/>
  <c r="N89" i="2" s="1"/>
  <c r="F89" i="2"/>
  <c r="J88" i="2"/>
  <c r="O88" i="2" s="1"/>
  <c r="I88" i="2"/>
  <c r="N88" i="2" s="1"/>
  <c r="F88" i="2"/>
  <c r="J87" i="2"/>
  <c r="O87" i="2" s="1"/>
  <c r="I87" i="2"/>
  <c r="N87" i="2" s="1"/>
  <c r="F87" i="2"/>
  <c r="J86" i="2"/>
  <c r="O86" i="2" s="1"/>
  <c r="I86" i="2"/>
  <c r="N86" i="2" s="1"/>
  <c r="F86" i="2"/>
  <c r="J85" i="2"/>
  <c r="O85" i="2" s="1"/>
  <c r="I85" i="2"/>
  <c r="N85" i="2" s="1"/>
  <c r="F85" i="2"/>
  <c r="J84" i="2"/>
  <c r="O84" i="2" s="1"/>
  <c r="I84" i="2"/>
  <c r="N84" i="2" s="1"/>
  <c r="F84" i="2"/>
  <c r="J83" i="2"/>
  <c r="O83" i="2" s="1"/>
  <c r="I83" i="2"/>
  <c r="N83" i="2" s="1"/>
  <c r="F83" i="2"/>
  <c r="J82" i="2"/>
  <c r="O82" i="2" s="1"/>
  <c r="I82" i="2"/>
  <c r="F82" i="2"/>
  <c r="J81" i="2"/>
  <c r="O81" i="2" s="1"/>
  <c r="I81" i="2"/>
  <c r="F81" i="2"/>
  <c r="E81" i="2"/>
  <c r="J80" i="2"/>
  <c r="O80" i="2" s="1"/>
  <c r="I80" i="2"/>
  <c r="F80" i="2"/>
  <c r="E80" i="2"/>
  <c r="J79" i="2"/>
  <c r="O79" i="2" s="1"/>
  <c r="I79" i="2"/>
  <c r="K79" i="2" s="1"/>
  <c r="F79" i="2"/>
  <c r="E79" i="2"/>
  <c r="J78" i="2"/>
  <c r="O78" i="2" s="1"/>
  <c r="I78" i="2"/>
  <c r="K78" i="2" s="1"/>
  <c r="F78" i="2"/>
  <c r="E78" i="2"/>
  <c r="J77" i="2"/>
  <c r="O77" i="2" s="1"/>
  <c r="I77" i="2"/>
  <c r="F77" i="2"/>
  <c r="E77" i="2"/>
  <c r="J76" i="2"/>
  <c r="O76" i="2" s="1"/>
  <c r="I76" i="2"/>
  <c r="F76" i="2"/>
  <c r="E76" i="2"/>
  <c r="J75" i="2"/>
  <c r="O75" i="2" s="1"/>
  <c r="I75" i="2"/>
  <c r="F75" i="2"/>
  <c r="E75" i="2"/>
  <c r="J74" i="2"/>
  <c r="O74" i="2" s="1"/>
  <c r="I74" i="2"/>
  <c r="K74" i="2" s="1"/>
  <c r="F74" i="2"/>
  <c r="E74" i="2"/>
  <c r="J73" i="2"/>
  <c r="O73" i="2" s="1"/>
  <c r="I73" i="2"/>
  <c r="F73" i="2"/>
  <c r="E73" i="2"/>
  <c r="J72" i="2"/>
  <c r="O72" i="2" s="1"/>
  <c r="I72" i="2"/>
  <c r="M72" i="2" s="1"/>
  <c r="F72" i="2"/>
  <c r="E72" i="2"/>
  <c r="J71" i="2"/>
  <c r="O71" i="2" s="1"/>
  <c r="I71" i="2"/>
  <c r="F71" i="2"/>
  <c r="E71" i="2"/>
  <c r="J70" i="2"/>
  <c r="O70" i="2" s="1"/>
  <c r="I70" i="2"/>
  <c r="F70" i="2"/>
  <c r="E70" i="2"/>
  <c r="J69" i="2"/>
  <c r="O69" i="2" s="1"/>
  <c r="I69" i="2"/>
  <c r="N69" i="2" s="1"/>
  <c r="F69" i="2"/>
  <c r="E69" i="2"/>
  <c r="J68" i="2"/>
  <c r="O68" i="2" s="1"/>
  <c r="I68" i="2"/>
  <c r="F68" i="2"/>
  <c r="E68" i="2"/>
  <c r="J67" i="2"/>
  <c r="O67" i="2" s="1"/>
  <c r="I67" i="2"/>
  <c r="F67" i="2"/>
  <c r="E67" i="2"/>
  <c r="J66" i="2"/>
  <c r="O66" i="2" s="1"/>
  <c r="I66" i="2"/>
  <c r="F66" i="2"/>
  <c r="E66" i="2"/>
  <c r="J65" i="2"/>
  <c r="O65" i="2" s="1"/>
  <c r="I65" i="2"/>
  <c r="N65" i="2" s="1"/>
  <c r="F65" i="2"/>
  <c r="E65" i="2"/>
  <c r="J64" i="2"/>
  <c r="O64" i="2" s="1"/>
  <c r="I64" i="2"/>
  <c r="F64" i="2"/>
  <c r="E64" i="2"/>
  <c r="J63" i="2"/>
  <c r="O63" i="2" s="1"/>
  <c r="I63" i="2"/>
  <c r="F63" i="2"/>
  <c r="E63" i="2"/>
  <c r="M71" i="2"/>
  <c r="J62" i="2"/>
  <c r="I62" i="2"/>
  <c r="N62" i="2" s="1"/>
  <c r="F62" i="2"/>
  <c r="E62" i="2"/>
  <c r="J61" i="2"/>
  <c r="I61" i="2"/>
  <c r="N61" i="2" s="1"/>
  <c r="F61" i="2"/>
  <c r="E61" i="2"/>
  <c r="J60" i="2"/>
  <c r="O60" i="2" s="1"/>
  <c r="I60" i="2"/>
  <c r="N60" i="2" s="1"/>
  <c r="F60" i="2"/>
  <c r="E60" i="2"/>
  <c r="J59" i="2"/>
  <c r="O59" i="2" s="1"/>
  <c r="I59" i="2"/>
  <c r="N59" i="2" s="1"/>
  <c r="F59" i="2"/>
  <c r="E59" i="2"/>
  <c r="J58" i="2"/>
  <c r="O58" i="2" s="1"/>
  <c r="I58" i="2"/>
  <c r="N58" i="2" s="1"/>
  <c r="F58" i="2"/>
  <c r="E58" i="2"/>
  <c r="J57" i="2"/>
  <c r="O57" i="2" s="1"/>
  <c r="I57" i="2"/>
  <c r="N57" i="2" s="1"/>
  <c r="F57" i="2"/>
  <c r="E57" i="2"/>
  <c r="J56" i="2"/>
  <c r="O56" i="2" s="1"/>
  <c r="I56" i="2"/>
  <c r="N56" i="2" s="1"/>
  <c r="F56" i="2"/>
  <c r="E56" i="2"/>
  <c r="J55" i="2"/>
  <c r="O55" i="2" s="1"/>
  <c r="I55" i="2"/>
  <c r="N55" i="2" s="1"/>
  <c r="F55" i="2"/>
  <c r="E55" i="2"/>
  <c r="J54" i="2"/>
  <c r="O54" i="2" s="1"/>
  <c r="I54" i="2"/>
  <c r="N54" i="2" s="1"/>
  <c r="F54" i="2"/>
  <c r="E54" i="2"/>
  <c r="J53" i="2"/>
  <c r="O53" i="2" s="1"/>
  <c r="I53" i="2"/>
  <c r="N53" i="2" s="1"/>
  <c r="F53" i="2"/>
  <c r="E53" i="2"/>
  <c r="J52" i="2"/>
  <c r="O52" i="2" s="1"/>
  <c r="I52" i="2"/>
  <c r="N52" i="2" s="1"/>
  <c r="F52" i="2"/>
  <c r="E52" i="2"/>
  <c r="J51" i="2"/>
  <c r="O51" i="2" s="1"/>
  <c r="I51" i="2"/>
  <c r="N51" i="2" s="1"/>
  <c r="F51" i="2"/>
  <c r="E51" i="2"/>
  <c r="J50" i="2"/>
  <c r="O50" i="2" s="1"/>
  <c r="I50" i="2"/>
  <c r="N50" i="2" s="1"/>
  <c r="F50" i="2"/>
  <c r="E50" i="2"/>
  <c r="J49" i="2"/>
  <c r="O49" i="2" s="1"/>
  <c r="I49" i="2"/>
  <c r="N49" i="2" s="1"/>
  <c r="F49" i="2"/>
  <c r="E49" i="2"/>
  <c r="J48" i="2"/>
  <c r="O48" i="2" s="1"/>
  <c r="I48" i="2"/>
  <c r="N48" i="2" s="1"/>
  <c r="F48" i="2"/>
  <c r="E48" i="2"/>
  <c r="J47" i="2"/>
  <c r="O47" i="2" s="1"/>
  <c r="I47" i="2"/>
  <c r="N47" i="2" s="1"/>
  <c r="F47" i="2"/>
  <c r="E47" i="2"/>
  <c r="J46" i="2"/>
  <c r="O46" i="2" s="1"/>
  <c r="I46" i="2"/>
  <c r="N46" i="2" s="1"/>
  <c r="F46" i="2"/>
  <c r="E46" i="2"/>
  <c r="J45" i="2"/>
  <c r="O45" i="2" s="1"/>
  <c r="I45" i="2"/>
  <c r="N45" i="2" s="1"/>
  <c r="F45" i="2"/>
  <c r="E45" i="2"/>
  <c r="J44" i="2"/>
  <c r="O44" i="2" s="1"/>
  <c r="I44" i="2"/>
  <c r="N44" i="2" s="1"/>
  <c r="F44" i="2"/>
  <c r="E44" i="2"/>
  <c r="J43" i="2"/>
  <c r="O43" i="2" s="1"/>
  <c r="I43" i="2"/>
  <c r="N43" i="2" s="1"/>
  <c r="F43" i="2"/>
  <c r="E43" i="2"/>
  <c r="J42" i="2"/>
  <c r="O42" i="2" s="1"/>
  <c r="I42" i="2"/>
  <c r="K42" i="2" s="1"/>
  <c r="F42" i="2"/>
  <c r="E42" i="2"/>
  <c r="J41" i="2"/>
  <c r="O41" i="2" s="1"/>
  <c r="I41" i="2"/>
  <c r="F41" i="2"/>
  <c r="E41" i="2"/>
  <c r="J40" i="2"/>
  <c r="O40" i="2" s="1"/>
  <c r="I40" i="2"/>
  <c r="F40" i="2"/>
  <c r="E40" i="2"/>
  <c r="J39" i="2"/>
  <c r="O39" i="2" s="1"/>
  <c r="I39" i="2"/>
  <c r="F39" i="2"/>
  <c r="E39" i="2"/>
  <c r="J38" i="2"/>
  <c r="O38" i="2" s="1"/>
  <c r="I38" i="2"/>
  <c r="F38" i="2"/>
  <c r="E38" i="2"/>
  <c r="J37" i="2"/>
  <c r="O37" i="2" s="1"/>
  <c r="I37" i="2"/>
  <c r="F37" i="2"/>
  <c r="E37" i="2"/>
  <c r="J36" i="2"/>
  <c r="O36" i="2" s="1"/>
  <c r="I36" i="2"/>
  <c r="M36" i="2" s="1"/>
  <c r="F36" i="2"/>
  <c r="E36" i="2"/>
  <c r="J35" i="2"/>
  <c r="O35" i="2" s="1"/>
  <c r="I35" i="2"/>
  <c r="F35" i="2"/>
  <c r="E35" i="2"/>
  <c r="J34" i="2"/>
  <c r="O34" i="2" s="1"/>
  <c r="I34" i="2"/>
  <c r="F34" i="2"/>
  <c r="E34" i="2"/>
  <c r="J33" i="2"/>
  <c r="O33" i="2" s="1"/>
  <c r="I33" i="2"/>
  <c r="F33" i="2"/>
  <c r="E33" i="2"/>
  <c r="J32" i="2"/>
  <c r="O32" i="2" s="1"/>
  <c r="I32" i="2"/>
  <c r="F32" i="2"/>
  <c r="E32" i="2"/>
  <c r="J31" i="2"/>
  <c r="O31" i="2" s="1"/>
  <c r="I31" i="2"/>
  <c r="F31" i="2"/>
  <c r="E31" i="2"/>
  <c r="J30" i="2"/>
  <c r="O30" i="2" s="1"/>
  <c r="I30" i="2"/>
  <c r="F30" i="2"/>
  <c r="E30" i="2"/>
  <c r="J29" i="2"/>
  <c r="O29" i="2" s="1"/>
  <c r="I29" i="2"/>
  <c r="F29" i="2"/>
  <c r="E29" i="2"/>
  <c r="J28" i="2"/>
  <c r="O28" i="2" s="1"/>
  <c r="I28" i="2"/>
  <c r="F28" i="2"/>
  <c r="E28" i="2"/>
  <c r="J27" i="2"/>
  <c r="O27" i="2" s="1"/>
  <c r="I27" i="2"/>
  <c r="F27" i="2"/>
  <c r="E27" i="2"/>
  <c r="J26" i="2"/>
  <c r="O26" i="2" s="1"/>
  <c r="I26" i="2"/>
  <c r="F26" i="2"/>
  <c r="E26" i="2"/>
  <c r="J25" i="2"/>
  <c r="O25" i="2" s="1"/>
  <c r="I25" i="2"/>
  <c r="F25" i="2"/>
  <c r="E25" i="2"/>
  <c r="J24" i="2"/>
  <c r="O24" i="2" s="1"/>
  <c r="I24" i="2"/>
  <c r="F24" i="2"/>
  <c r="E24" i="2"/>
  <c r="J23" i="2"/>
  <c r="O23" i="2" s="1"/>
  <c r="I23" i="2"/>
  <c r="F23" i="2"/>
  <c r="E23" i="2"/>
  <c r="J11" i="2"/>
  <c r="O11" i="2" s="1"/>
  <c r="I11" i="2"/>
  <c r="N11" i="2" s="1"/>
  <c r="F11" i="2"/>
  <c r="E11" i="2"/>
  <c r="J10" i="2"/>
  <c r="O10" i="2" s="1"/>
  <c r="I10" i="2"/>
  <c r="N10" i="2" s="1"/>
  <c r="F10" i="2"/>
  <c r="E10" i="2"/>
  <c r="J9" i="2"/>
  <c r="O9" i="2" s="1"/>
  <c r="I9" i="2"/>
  <c r="N9" i="2" s="1"/>
  <c r="F9" i="2"/>
  <c r="E9" i="2"/>
  <c r="J8" i="2"/>
  <c r="O8" i="2" s="1"/>
  <c r="I8" i="2"/>
  <c r="N8" i="2" s="1"/>
  <c r="F8" i="2"/>
  <c r="E8" i="2"/>
  <c r="J7" i="2"/>
  <c r="O7" i="2" s="1"/>
  <c r="I7" i="2"/>
  <c r="N7" i="2" s="1"/>
  <c r="F7" i="2"/>
  <c r="E7" i="2"/>
  <c r="J6" i="2"/>
  <c r="O6" i="2" s="1"/>
  <c r="I6" i="2"/>
  <c r="F6" i="2"/>
  <c r="E6" i="2"/>
  <c r="J5" i="2"/>
  <c r="O5" i="2" s="1"/>
  <c r="I5" i="2"/>
  <c r="F5" i="2"/>
  <c r="E5" i="2"/>
  <c r="J4" i="2"/>
  <c r="O4" i="2" s="1"/>
  <c r="I4" i="2"/>
  <c r="K4" i="2" s="1"/>
  <c r="F4" i="2"/>
  <c r="E4" i="2"/>
  <c r="J3" i="2"/>
  <c r="O3" i="2" s="1"/>
  <c r="I3" i="2"/>
  <c r="F3" i="2"/>
  <c r="E3" i="2"/>
  <c r="J2" i="2"/>
  <c r="O2" i="2" s="1"/>
  <c r="I2" i="2"/>
  <c r="N2" i="2" s="1"/>
  <c r="F2" i="2"/>
  <c r="E2" i="2"/>
  <c r="J91" i="3"/>
  <c r="O91" i="3" s="1"/>
  <c r="I91" i="3"/>
  <c r="N91" i="3" s="1"/>
  <c r="F91" i="3"/>
  <c r="E91" i="3"/>
  <c r="J90" i="3"/>
  <c r="O90" i="3" s="1"/>
  <c r="I90" i="3"/>
  <c r="N90" i="3" s="1"/>
  <c r="F90" i="3"/>
  <c r="E90" i="3"/>
  <c r="J89" i="3"/>
  <c r="O89" i="3" s="1"/>
  <c r="I89" i="3"/>
  <c r="N89" i="3" s="1"/>
  <c r="F89" i="3"/>
  <c r="E89" i="3"/>
  <c r="J88" i="3"/>
  <c r="O88" i="3" s="1"/>
  <c r="N88" i="3"/>
  <c r="F88" i="3"/>
  <c r="E88" i="3"/>
  <c r="J87" i="3"/>
  <c r="O87" i="3" s="1"/>
  <c r="I87" i="3"/>
  <c r="N87" i="3" s="1"/>
  <c r="F87" i="3"/>
  <c r="E87" i="3"/>
  <c r="J86" i="3"/>
  <c r="O86" i="3" s="1"/>
  <c r="I86" i="3"/>
  <c r="N86" i="3" s="1"/>
  <c r="F86" i="3"/>
  <c r="E86" i="3"/>
  <c r="J85" i="3"/>
  <c r="O85" i="3" s="1"/>
  <c r="I85" i="3"/>
  <c r="N85" i="3" s="1"/>
  <c r="F85" i="3"/>
  <c r="E85" i="3"/>
  <c r="J84" i="3"/>
  <c r="O84" i="3" s="1"/>
  <c r="I84" i="3"/>
  <c r="N84" i="3" s="1"/>
  <c r="F84" i="3"/>
  <c r="E84" i="3"/>
  <c r="J83" i="3"/>
  <c r="O83" i="3" s="1"/>
  <c r="I83" i="3"/>
  <c r="N83" i="3" s="1"/>
  <c r="F83" i="3"/>
  <c r="E83" i="3"/>
  <c r="J82" i="3"/>
  <c r="O82" i="3" s="1"/>
  <c r="N82" i="3"/>
  <c r="F82" i="3"/>
  <c r="E82" i="3"/>
  <c r="J81" i="3"/>
  <c r="O81" i="3" s="1"/>
  <c r="I81" i="3"/>
  <c r="N81" i="3" s="1"/>
  <c r="F81" i="3"/>
  <c r="E81" i="3"/>
  <c r="J80" i="3"/>
  <c r="O80" i="3" s="1"/>
  <c r="I80" i="3"/>
  <c r="N80" i="3" s="1"/>
  <c r="F80" i="3"/>
  <c r="E80" i="3"/>
  <c r="J79" i="3"/>
  <c r="O79" i="3" s="1"/>
  <c r="I79" i="3"/>
  <c r="N79" i="3" s="1"/>
  <c r="F79" i="3"/>
  <c r="E79" i="3"/>
  <c r="J78" i="3"/>
  <c r="O78" i="3" s="1"/>
  <c r="I78" i="3"/>
  <c r="N78" i="3" s="1"/>
  <c r="F78" i="3"/>
  <c r="E78" i="3"/>
  <c r="J77" i="3"/>
  <c r="O77" i="3" s="1"/>
  <c r="I77" i="3"/>
  <c r="N77" i="3" s="1"/>
  <c r="F77" i="3"/>
  <c r="E77" i="3"/>
  <c r="J76" i="3"/>
  <c r="O76" i="3" s="1"/>
  <c r="I76" i="3"/>
  <c r="N76" i="3" s="1"/>
  <c r="F76" i="3"/>
  <c r="E76" i="3"/>
  <c r="J75" i="3"/>
  <c r="O75" i="3" s="1"/>
  <c r="I75" i="3"/>
  <c r="N75" i="3" s="1"/>
  <c r="F75" i="3"/>
  <c r="E75" i="3"/>
  <c r="J74" i="3"/>
  <c r="O74" i="3" s="1"/>
  <c r="I74" i="3"/>
  <c r="N74" i="3" s="1"/>
  <c r="F74" i="3"/>
  <c r="E74" i="3"/>
  <c r="J73" i="3"/>
  <c r="O73" i="3" s="1"/>
  <c r="I73" i="3"/>
  <c r="N73" i="3" s="1"/>
  <c r="F73" i="3"/>
  <c r="E73" i="3"/>
  <c r="J72" i="3"/>
  <c r="O72" i="3" s="1"/>
  <c r="I72" i="3"/>
  <c r="M72" i="3" s="1"/>
  <c r="F72" i="3"/>
  <c r="E72" i="3"/>
  <c r="J71" i="3"/>
  <c r="O71" i="3" s="1"/>
  <c r="I71" i="3"/>
  <c r="N71" i="3" s="1"/>
  <c r="F71" i="3"/>
  <c r="E71" i="3"/>
  <c r="J70" i="3"/>
  <c r="I70" i="3"/>
  <c r="N70" i="3" s="1"/>
  <c r="F70" i="3"/>
  <c r="E70" i="3"/>
  <c r="J69" i="3"/>
  <c r="O69" i="3" s="1"/>
  <c r="I69" i="3"/>
  <c r="F69" i="3"/>
  <c r="E69" i="3"/>
  <c r="J68" i="3"/>
  <c r="O68" i="3" s="1"/>
  <c r="I68" i="3"/>
  <c r="N68" i="3" s="1"/>
  <c r="F68" i="3"/>
  <c r="E68" i="3"/>
  <c r="J67" i="3"/>
  <c r="O67" i="3" s="1"/>
  <c r="I67" i="3"/>
  <c r="N67" i="3" s="1"/>
  <c r="F67" i="3"/>
  <c r="E67" i="3"/>
  <c r="J66" i="3"/>
  <c r="I66" i="3"/>
  <c r="N66" i="3" s="1"/>
  <c r="F66" i="3"/>
  <c r="E66" i="3"/>
  <c r="J65" i="3"/>
  <c r="O65" i="3" s="1"/>
  <c r="I65" i="3"/>
  <c r="F65" i="3"/>
  <c r="E65" i="3"/>
  <c r="J64" i="3"/>
  <c r="O64" i="3" s="1"/>
  <c r="I64" i="3"/>
  <c r="F64" i="3"/>
  <c r="E64" i="3"/>
  <c r="J63" i="3"/>
  <c r="O63" i="3" s="1"/>
  <c r="I63" i="3"/>
  <c r="N63" i="3" s="1"/>
  <c r="F63" i="3"/>
  <c r="E63" i="3"/>
  <c r="J62" i="3"/>
  <c r="O62" i="3" s="1"/>
  <c r="I62" i="3"/>
  <c r="N62" i="3" s="1"/>
  <c r="F62" i="3"/>
  <c r="E62" i="3"/>
  <c r="J61" i="3"/>
  <c r="I61" i="3"/>
  <c r="N61" i="3" s="1"/>
  <c r="F61" i="3"/>
  <c r="E61" i="3"/>
  <c r="J60" i="3"/>
  <c r="O60" i="3" s="1"/>
  <c r="I60" i="3"/>
  <c r="N60" i="3" s="1"/>
  <c r="F60" i="3"/>
  <c r="E60" i="3"/>
  <c r="J59" i="3"/>
  <c r="O59" i="3" s="1"/>
  <c r="I59" i="3"/>
  <c r="N59" i="3" s="1"/>
  <c r="F59" i="3"/>
  <c r="E59" i="3"/>
  <c r="J58" i="3"/>
  <c r="O58" i="3" s="1"/>
  <c r="I58" i="3"/>
  <c r="N58" i="3" s="1"/>
  <c r="F58" i="3"/>
  <c r="E58" i="3"/>
  <c r="J57" i="3"/>
  <c r="I57" i="3"/>
  <c r="N57" i="3" s="1"/>
  <c r="F57" i="3"/>
  <c r="E57" i="3"/>
  <c r="J56" i="3"/>
  <c r="I56" i="3"/>
  <c r="N56" i="3" s="1"/>
  <c r="F56" i="3"/>
  <c r="E56" i="3"/>
  <c r="J55" i="3"/>
  <c r="O55" i="3" s="1"/>
  <c r="I55" i="3"/>
  <c r="N55" i="3" s="1"/>
  <c r="F55" i="3"/>
  <c r="E55" i="3"/>
  <c r="J54" i="3"/>
  <c r="O54" i="3" s="1"/>
  <c r="I54" i="3"/>
  <c r="N54" i="3" s="1"/>
  <c r="F54" i="3"/>
  <c r="E54" i="3"/>
  <c r="J53" i="3"/>
  <c r="I53" i="3"/>
  <c r="N53" i="3" s="1"/>
  <c r="F53" i="3"/>
  <c r="E53" i="3"/>
  <c r="J52" i="3"/>
  <c r="O52" i="3" s="1"/>
  <c r="I52" i="3"/>
  <c r="N52" i="3" s="1"/>
  <c r="F52" i="3"/>
  <c r="E52" i="3"/>
  <c r="J51" i="3"/>
  <c r="O51" i="3" s="1"/>
  <c r="I51" i="3"/>
  <c r="F51" i="3"/>
  <c r="E51" i="3"/>
  <c r="J50" i="3"/>
  <c r="O50" i="3" s="1"/>
  <c r="I50" i="3"/>
  <c r="F50" i="3"/>
  <c r="E50" i="3"/>
  <c r="J49" i="3"/>
  <c r="O49" i="3" s="1"/>
  <c r="I49" i="3"/>
  <c r="N49" i="3" s="1"/>
  <c r="F49" i="3"/>
  <c r="E49" i="3"/>
  <c r="J48" i="3"/>
  <c r="O48" i="3" s="1"/>
  <c r="I48" i="3"/>
  <c r="N48" i="3" s="1"/>
  <c r="F48" i="3"/>
  <c r="E48" i="3"/>
  <c r="J47" i="3"/>
  <c r="O47" i="3" s="1"/>
  <c r="I47" i="3"/>
  <c r="F47" i="3"/>
  <c r="E47" i="3"/>
  <c r="J46" i="3"/>
  <c r="O46" i="3" s="1"/>
  <c r="I46" i="3"/>
  <c r="M46" i="3" s="1"/>
  <c r="F46" i="3"/>
  <c r="E46" i="3"/>
  <c r="J45" i="3"/>
  <c r="O45" i="3" s="1"/>
  <c r="I45" i="3"/>
  <c r="N45" i="3" s="1"/>
  <c r="F45" i="3"/>
  <c r="E45" i="3"/>
  <c r="J44" i="3"/>
  <c r="O44" i="3" s="1"/>
  <c r="I44" i="3"/>
  <c r="N44" i="3" s="1"/>
  <c r="F44" i="3"/>
  <c r="E44" i="3"/>
  <c r="J43" i="3"/>
  <c r="O43" i="3" s="1"/>
  <c r="I43" i="3"/>
  <c r="N43" i="3" s="1"/>
  <c r="F43" i="3"/>
  <c r="E43" i="3"/>
  <c r="J42" i="3"/>
  <c r="O42" i="3" s="1"/>
  <c r="I42" i="3"/>
  <c r="F42" i="3"/>
  <c r="E42" i="3"/>
  <c r="J41" i="3"/>
  <c r="O41" i="3" s="1"/>
  <c r="I41" i="3"/>
  <c r="N41" i="3" s="1"/>
  <c r="F41" i="3"/>
  <c r="E41" i="3"/>
  <c r="J40" i="3"/>
  <c r="O40" i="3" s="1"/>
  <c r="I40" i="3"/>
  <c r="N40" i="3" s="1"/>
  <c r="F40" i="3"/>
  <c r="E40" i="3"/>
  <c r="J39" i="3"/>
  <c r="O39" i="3" s="1"/>
  <c r="I39" i="3"/>
  <c r="F39" i="3"/>
  <c r="E39" i="3"/>
  <c r="J38" i="3"/>
  <c r="O38" i="3" s="1"/>
  <c r="I38" i="3"/>
  <c r="N38" i="3" s="1"/>
  <c r="F38" i="3"/>
  <c r="E38" i="3"/>
  <c r="J37" i="3"/>
  <c r="O37" i="3" s="1"/>
  <c r="I37" i="3"/>
  <c r="F37" i="3"/>
  <c r="E37" i="3"/>
  <c r="J36" i="3"/>
  <c r="O36" i="3" s="1"/>
  <c r="I36" i="3"/>
  <c r="N36" i="3" s="1"/>
  <c r="F36" i="3"/>
  <c r="E36" i="3"/>
  <c r="J35" i="3"/>
  <c r="O35" i="3" s="1"/>
  <c r="I35" i="3"/>
  <c r="F35" i="3"/>
  <c r="E35" i="3"/>
  <c r="J34" i="3"/>
  <c r="O34" i="3" s="1"/>
  <c r="I34" i="3"/>
  <c r="N34" i="3" s="1"/>
  <c r="F34" i="3"/>
  <c r="E34" i="3"/>
  <c r="J33" i="3"/>
  <c r="O33" i="3" s="1"/>
  <c r="I33" i="3"/>
  <c r="F33" i="3"/>
  <c r="E33" i="3"/>
  <c r="J32" i="3"/>
  <c r="O32" i="3" s="1"/>
  <c r="I32" i="3"/>
  <c r="F32" i="3"/>
  <c r="E32" i="3"/>
  <c r="J31" i="3"/>
  <c r="O31" i="3" s="1"/>
  <c r="I31" i="3"/>
  <c r="F31" i="3"/>
  <c r="E31" i="3"/>
  <c r="J30" i="3"/>
  <c r="I30" i="3"/>
  <c r="N30" i="3" s="1"/>
  <c r="F30" i="3"/>
  <c r="E30" i="3"/>
  <c r="J29" i="3"/>
  <c r="O29" i="3" s="1"/>
  <c r="I29" i="3"/>
  <c r="F29" i="3"/>
  <c r="E29" i="3"/>
  <c r="J28" i="3"/>
  <c r="O28" i="3" s="1"/>
  <c r="I28" i="3"/>
  <c r="N28" i="3" s="1"/>
  <c r="F28" i="3"/>
  <c r="E28" i="3"/>
  <c r="J27" i="3"/>
  <c r="O27" i="3" s="1"/>
  <c r="I27" i="3"/>
  <c r="N27" i="3" s="1"/>
  <c r="F27" i="3"/>
  <c r="E27" i="3"/>
  <c r="J26" i="3"/>
  <c r="I26" i="3"/>
  <c r="N26" i="3" s="1"/>
  <c r="F26" i="3"/>
  <c r="E26" i="3"/>
  <c r="J25" i="3"/>
  <c r="O25" i="3" s="1"/>
  <c r="I25" i="3"/>
  <c r="F25" i="3"/>
  <c r="E25" i="3"/>
  <c r="J24" i="3"/>
  <c r="O24" i="3" s="1"/>
  <c r="I24" i="3"/>
  <c r="N24" i="3" s="1"/>
  <c r="F24" i="3"/>
  <c r="E24" i="3"/>
  <c r="J23" i="3"/>
  <c r="O23" i="3" s="1"/>
  <c r="N23" i="3"/>
  <c r="F23" i="3"/>
  <c r="E23" i="3"/>
  <c r="J22" i="3"/>
  <c r="O22" i="3" s="1"/>
  <c r="N22" i="3"/>
  <c r="F22" i="3"/>
  <c r="E22" i="3"/>
  <c r="J21" i="3"/>
  <c r="N21" i="3"/>
  <c r="F21" i="3"/>
  <c r="E21" i="3"/>
  <c r="J20" i="3"/>
  <c r="I20" i="3"/>
  <c r="N20" i="3" s="1"/>
  <c r="F20" i="3"/>
  <c r="E20" i="3"/>
  <c r="J19" i="3"/>
  <c r="O19" i="3" s="1"/>
  <c r="I19" i="3"/>
  <c r="N19" i="3" s="1"/>
  <c r="F19" i="3"/>
  <c r="E19" i="3"/>
  <c r="J18" i="3"/>
  <c r="O18" i="3" s="1"/>
  <c r="I18" i="3"/>
  <c r="N18" i="3" s="1"/>
  <c r="F18" i="3"/>
  <c r="E18" i="3"/>
  <c r="J17" i="3"/>
  <c r="I17" i="3"/>
  <c r="N17" i="3" s="1"/>
  <c r="F17" i="3"/>
  <c r="E17" i="3"/>
  <c r="J16" i="3"/>
  <c r="I16" i="3"/>
  <c r="N16" i="3" s="1"/>
  <c r="F16" i="3"/>
  <c r="E16" i="3"/>
  <c r="J15" i="3"/>
  <c r="K15" i="3" s="1"/>
  <c r="N15" i="3"/>
  <c r="F15" i="3"/>
  <c r="E15" i="3"/>
  <c r="J14" i="3"/>
  <c r="O14" i="3" s="1"/>
  <c r="N14" i="3"/>
  <c r="F14" i="3"/>
  <c r="E14" i="3"/>
  <c r="J13" i="3"/>
  <c r="N13" i="3"/>
  <c r="F13" i="3"/>
  <c r="E13" i="3"/>
  <c r="M15" i="3"/>
  <c r="J12" i="3"/>
  <c r="O12" i="3" s="1"/>
  <c r="N12" i="3"/>
  <c r="F12" i="3"/>
  <c r="E12" i="3"/>
  <c r="O11" i="3"/>
  <c r="N11" i="3"/>
  <c r="O10" i="3"/>
  <c r="O9" i="3"/>
  <c r="N9" i="3"/>
  <c r="O8" i="3"/>
  <c r="N8" i="3"/>
  <c r="O7" i="3"/>
  <c r="O6" i="3"/>
  <c r="O5" i="3"/>
  <c r="N5" i="3"/>
  <c r="O4" i="3"/>
  <c r="N4" i="3"/>
  <c r="O3" i="3"/>
  <c r="K80" i="3" l="1"/>
  <c r="K30" i="2"/>
  <c r="K39" i="2"/>
  <c r="K75" i="2"/>
  <c r="K3" i="2"/>
  <c r="K33" i="3"/>
  <c r="K31" i="2"/>
  <c r="K73" i="2"/>
  <c r="K77" i="2"/>
  <c r="K81" i="2"/>
  <c r="K71" i="2"/>
  <c r="K64" i="2"/>
  <c r="K37" i="2"/>
  <c r="K24" i="2"/>
  <c r="K28" i="2"/>
  <c r="M32" i="2"/>
  <c r="M39" i="2"/>
  <c r="K88" i="2"/>
  <c r="K25" i="2"/>
  <c r="K29" i="2"/>
  <c r="K66" i="2"/>
  <c r="N29" i="2"/>
  <c r="K40" i="2"/>
  <c r="K85" i="2"/>
  <c r="M33" i="2"/>
  <c r="K52" i="2"/>
  <c r="M37" i="2"/>
  <c r="K41" i="2"/>
  <c r="M61" i="2"/>
  <c r="K23" i="2"/>
  <c r="K27" i="2"/>
  <c r="K68" i="2"/>
  <c r="K35" i="2"/>
  <c r="K65" i="2"/>
  <c r="M75" i="2"/>
  <c r="K76" i="2"/>
  <c r="K80" i="2"/>
  <c r="M33" i="3"/>
  <c r="K32" i="3"/>
  <c r="M58" i="3"/>
  <c r="K47" i="3"/>
  <c r="K50" i="3"/>
  <c r="K51" i="3"/>
  <c r="K6" i="2"/>
  <c r="K9" i="2"/>
  <c r="K26" i="2"/>
  <c r="K33" i="2"/>
  <c r="K69" i="2"/>
  <c r="K82" i="2"/>
  <c r="K22" i="3"/>
  <c r="K46" i="2"/>
  <c r="M79" i="2"/>
  <c r="K37" i="3"/>
  <c r="K43" i="2"/>
  <c r="M76" i="2"/>
  <c r="N33" i="3"/>
  <c r="K10" i="2"/>
  <c r="K34" i="2"/>
  <c r="M40" i="2"/>
  <c r="K63" i="2"/>
  <c r="K70" i="2"/>
  <c r="M73" i="2"/>
  <c r="K89" i="2"/>
  <c r="K86" i="2"/>
  <c r="M34" i="2"/>
  <c r="K50" i="2"/>
  <c r="K67" i="2"/>
  <c r="K83" i="2"/>
  <c r="N24" i="2"/>
  <c r="K47" i="2"/>
  <c r="M80" i="2"/>
  <c r="K31" i="3"/>
  <c r="M45" i="3"/>
  <c r="K38" i="2"/>
  <c r="K44" i="2"/>
  <c r="M77" i="2"/>
  <c r="K11" i="2"/>
  <c r="N28" i="2"/>
  <c r="M41" i="2"/>
  <c r="M74" i="2"/>
  <c r="K90" i="2"/>
  <c r="K49" i="2"/>
  <c r="M2" i="3"/>
  <c r="K8" i="2"/>
  <c r="M38" i="2"/>
  <c r="K61" i="2"/>
  <c r="N64" i="2"/>
  <c r="K87" i="2"/>
  <c r="M42" i="3"/>
  <c r="K5" i="2"/>
  <c r="M35" i="2"/>
  <c r="K51" i="2"/>
  <c r="O61" i="2"/>
  <c r="K84" i="2"/>
  <c r="N25" i="2"/>
  <c r="K48" i="2"/>
  <c r="N68" i="2"/>
  <c r="M81" i="2"/>
  <c r="M10" i="3"/>
  <c r="K2" i="2"/>
  <c r="M31" i="2"/>
  <c r="K45" i="2"/>
  <c r="M78" i="2"/>
  <c r="K36" i="2"/>
  <c r="K91" i="2"/>
  <c r="K84" i="3"/>
  <c r="K88" i="3"/>
  <c r="N72" i="3"/>
  <c r="K76" i="3"/>
  <c r="K63" i="3"/>
  <c r="M60" i="3"/>
  <c r="K55" i="3"/>
  <c r="K60" i="3"/>
  <c r="M55" i="3"/>
  <c r="K49" i="3"/>
  <c r="K42" i="3"/>
  <c r="M40" i="3"/>
  <c r="M36" i="3"/>
  <c r="N31" i="3"/>
  <c r="K28" i="3"/>
  <c r="O15" i="3"/>
  <c r="K16" i="3"/>
  <c r="M19" i="3"/>
  <c r="M11" i="3"/>
  <c r="K82" i="3"/>
  <c r="K86" i="3"/>
  <c r="K90" i="3"/>
  <c r="K74" i="3"/>
  <c r="K78" i="3"/>
  <c r="K62" i="3"/>
  <c r="K64" i="3"/>
  <c r="K71" i="3"/>
  <c r="N64" i="3"/>
  <c r="K67" i="3"/>
  <c r="K68" i="3"/>
  <c r="K56" i="3"/>
  <c r="K59" i="3"/>
  <c r="K54" i="3"/>
  <c r="O56" i="3"/>
  <c r="M59" i="3"/>
  <c r="K52" i="3"/>
  <c r="M54" i="3"/>
  <c r="K58" i="3"/>
  <c r="M49" i="3"/>
  <c r="K44" i="3"/>
  <c r="N47" i="3"/>
  <c r="M50" i="3"/>
  <c r="K43" i="3"/>
  <c r="K45" i="3"/>
  <c r="K46" i="3"/>
  <c r="K48" i="3"/>
  <c r="M41" i="3"/>
  <c r="M37" i="3"/>
  <c r="K38" i="3"/>
  <c r="K34" i="3"/>
  <c r="N37" i="3"/>
  <c r="K41" i="3"/>
  <c r="K27" i="3"/>
  <c r="K23" i="3"/>
  <c r="K24" i="3"/>
  <c r="K14" i="3"/>
  <c r="O16" i="3"/>
  <c r="K20" i="3"/>
  <c r="K12" i="3"/>
  <c r="M14" i="3"/>
  <c r="K18" i="3"/>
  <c r="O20" i="3"/>
  <c r="M20" i="3"/>
  <c r="M18" i="3"/>
  <c r="K19" i="3"/>
  <c r="N2" i="3"/>
  <c r="M9" i="3"/>
  <c r="N3" i="2"/>
  <c r="N4" i="2"/>
  <c r="N5" i="2"/>
  <c r="N6" i="2"/>
  <c r="N26" i="2"/>
  <c r="N30" i="2"/>
  <c r="K32" i="2"/>
  <c r="N32" i="2"/>
  <c r="N66" i="2"/>
  <c r="N70" i="2"/>
  <c r="K72" i="2"/>
  <c r="N72" i="2"/>
  <c r="M11" i="2"/>
  <c r="M10" i="2"/>
  <c r="M9" i="2"/>
  <c r="M8" i="2"/>
  <c r="M7" i="2"/>
  <c r="K7" i="2"/>
  <c r="N23" i="2"/>
  <c r="N27" i="2"/>
  <c r="N31" i="2"/>
  <c r="M51" i="2"/>
  <c r="M50" i="2"/>
  <c r="M49" i="2"/>
  <c r="M48" i="2"/>
  <c r="M47" i="2"/>
  <c r="M46" i="2"/>
  <c r="M45" i="2"/>
  <c r="M44" i="2"/>
  <c r="M43" i="2"/>
  <c r="M42" i="2"/>
  <c r="N63" i="2"/>
  <c r="N67" i="2"/>
  <c r="N71" i="2"/>
  <c r="M91" i="2"/>
  <c r="M90" i="2"/>
  <c r="M89" i="2"/>
  <c r="M88" i="2"/>
  <c r="M87" i="2"/>
  <c r="M86" i="2"/>
  <c r="M85" i="2"/>
  <c r="M84" i="2"/>
  <c r="M83" i="2"/>
  <c r="M82" i="2"/>
  <c r="M2" i="2"/>
  <c r="M3" i="2"/>
  <c r="M4" i="2"/>
  <c r="M5" i="2"/>
  <c r="M6" i="2"/>
  <c r="O62" i="2"/>
  <c r="K62" i="2"/>
  <c r="N33" i="2"/>
  <c r="N34" i="2"/>
  <c r="N35" i="2"/>
  <c r="N36" i="2"/>
  <c r="N37" i="2"/>
  <c r="N38" i="2"/>
  <c r="N39" i="2"/>
  <c r="N40" i="2"/>
  <c r="N41" i="2"/>
  <c r="K53" i="2"/>
  <c r="K54" i="2"/>
  <c r="K55" i="2"/>
  <c r="K56" i="2"/>
  <c r="K57" i="2"/>
  <c r="K58" i="2"/>
  <c r="K59" i="2"/>
  <c r="K60" i="2"/>
  <c r="N73" i="2"/>
  <c r="N74" i="2"/>
  <c r="N75" i="2"/>
  <c r="N76" i="2"/>
  <c r="N77" i="2"/>
  <c r="N78" i="2"/>
  <c r="N79" i="2"/>
  <c r="N80" i="2"/>
  <c r="N81" i="2"/>
  <c r="N42" i="2"/>
  <c r="M52" i="2"/>
  <c r="M53" i="2"/>
  <c r="M54" i="2"/>
  <c r="M55" i="2"/>
  <c r="M56" i="2"/>
  <c r="M57" i="2"/>
  <c r="M58" i="2"/>
  <c r="M59" i="2"/>
  <c r="M60" i="2"/>
  <c r="N82" i="2"/>
  <c r="M23" i="2"/>
  <c r="M24" i="2"/>
  <c r="M25" i="2"/>
  <c r="M26" i="2"/>
  <c r="M27" i="2"/>
  <c r="M28" i="2"/>
  <c r="M29" i="2"/>
  <c r="M30" i="2"/>
  <c r="M62" i="2"/>
  <c r="M63" i="2"/>
  <c r="M64" i="2"/>
  <c r="M65" i="2"/>
  <c r="M66" i="2"/>
  <c r="M67" i="2"/>
  <c r="M68" i="2"/>
  <c r="M69" i="2"/>
  <c r="M70" i="2"/>
  <c r="O30" i="3"/>
  <c r="K30" i="3"/>
  <c r="N69" i="3"/>
  <c r="K69" i="3"/>
  <c r="O26" i="3"/>
  <c r="K26" i="3"/>
  <c r="M51" i="3"/>
  <c r="N51" i="3"/>
  <c r="O57" i="3"/>
  <c r="K57" i="3"/>
  <c r="O2" i="3"/>
  <c r="O17" i="3"/>
  <c r="K17" i="3"/>
  <c r="N25" i="3"/>
  <c r="K25" i="3"/>
  <c r="K35" i="3"/>
  <c r="N35" i="3"/>
  <c r="M35" i="3"/>
  <c r="O61" i="3"/>
  <c r="K61" i="3"/>
  <c r="O21" i="3"/>
  <c r="K21" i="3"/>
  <c r="O53" i="3"/>
  <c r="K53" i="3"/>
  <c r="O66" i="3"/>
  <c r="K66" i="3"/>
  <c r="N6" i="3"/>
  <c r="N3" i="3"/>
  <c r="N7" i="3"/>
  <c r="O13" i="3"/>
  <c r="K13" i="3"/>
  <c r="N29" i="3"/>
  <c r="K29" i="3"/>
  <c r="K39" i="3"/>
  <c r="N39" i="3"/>
  <c r="M39" i="3"/>
  <c r="N65" i="3"/>
  <c r="K65" i="3"/>
  <c r="O70" i="3"/>
  <c r="K70" i="3"/>
  <c r="M8" i="3"/>
  <c r="M13" i="3"/>
  <c r="M17" i="3"/>
  <c r="M21" i="3"/>
  <c r="N32" i="3"/>
  <c r="M44" i="3"/>
  <c r="M48" i="3"/>
  <c r="M53" i="3"/>
  <c r="M57" i="3"/>
  <c r="M61" i="3"/>
  <c r="K73" i="3"/>
  <c r="K75" i="3"/>
  <c r="K77" i="3"/>
  <c r="K79" i="3"/>
  <c r="K81" i="3"/>
  <c r="K83" i="3"/>
  <c r="K85" i="3"/>
  <c r="K87" i="3"/>
  <c r="K89" i="3"/>
  <c r="K91" i="3"/>
  <c r="N10" i="3"/>
  <c r="M31" i="3"/>
  <c r="M30" i="3"/>
  <c r="M29" i="3"/>
  <c r="M28" i="3"/>
  <c r="M27" i="3"/>
  <c r="M26" i="3"/>
  <c r="M25" i="3"/>
  <c r="M24" i="3"/>
  <c r="M23" i="3"/>
  <c r="M22" i="3"/>
  <c r="M32" i="3"/>
  <c r="N42" i="3"/>
  <c r="N46" i="3"/>
  <c r="N50" i="3"/>
  <c r="M71" i="3"/>
  <c r="M70" i="3"/>
  <c r="M69" i="3"/>
  <c r="M68" i="3"/>
  <c r="M67" i="3"/>
  <c r="M66" i="3"/>
  <c r="M65" i="3"/>
  <c r="M64" i="3"/>
  <c r="M63" i="3"/>
  <c r="M62" i="3"/>
  <c r="M3" i="3"/>
  <c r="M4" i="3"/>
  <c r="M5" i="3"/>
  <c r="M6" i="3"/>
  <c r="M7" i="3"/>
  <c r="M12" i="3"/>
  <c r="M16" i="3"/>
  <c r="M34" i="3"/>
  <c r="K36" i="3"/>
  <c r="M38" i="3"/>
  <c r="K40" i="3"/>
  <c r="M43" i="3"/>
  <c r="M47" i="3"/>
  <c r="M52" i="3"/>
  <c r="M56" i="3"/>
  <c r="K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</calcChain>
</file>

<file path=xl/sharedStrings.xml><?xml version="1.0" encoding="utf-8"?>
<sst xmlns="http://schemas.openxmlformats.org/spreadsheetml/2006/main" count="105" uniqueCount="21">
  <si>
    <t>Channel 1 (VC)</t>
  </si>
  <si>
    <t>Channel 2 (VB)</t>
  </si>
  <si>
    <t>RC (ohm)</t>
  </si>
  <si>
    <t>RB (ohm)</t>
  </si>
  <si>
    <t>IC (A)</t>
  </si>
  <si>
    <t>IB (A)</t>
  </si>
  <si>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  <scheme val="minor"/>
      </rPr>
      <t xml:space="preserve"> = IC/IB</t>
    </r>
  </si>
  <si>
    <t>V(Q1C) (Volt)</t>
  </si>
  <si>
    <t>V(Q1B) (Volt)</t>
  </si>
  <si>
    <t>VCE (Volt)</t>
  </si>
  <si>
    <t>|VA| (V)</t>
  </si>
  <si>
    <t>gm = IC/25mV</t>
  </si>
  <si>
    <r>
      <t>r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</rPr>
      <t xml:space="preserve"> = 25mV/IB</t>
    </r>
  </si>
  <si>
    <t>ro=VA/IC</t>
  </si>
  <si>
    <t>V+ (VCC)</t>
  </si>
  <si>
    <t>V- (VE)</t>
  </si>
  <si>
    <t>VBEon (Volt)</t>
  </si>
  <si>
    <t>V+ (VE)</t>
  </si>
  <si>
    <t>V- (VCC)</t>
  </si>
  <si>
    <t>VEC (Volt)</t>
  </si>
  <si>
    <t>VEBon (Volt)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</si>
</sst>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4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1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1" fontId="0" fillId="6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1" fontId="0" fillId="6" borderId="0" xfId="0" applyNumberFormat="1" applyFill="1" applyAlignment="1">
      <alignment horizontal="center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1" fontId="0" fillId="4" borderId="2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1.2-1.4'!$E$2:$E$11</c:f>
              <c:numCache>
                <c:formatCode>0.000</c:formatCode>
                <c:ptCount val="10"/>
                <c:pt idx="0">
                  <c:v>4.9419471692057675</c:v>
                </c:pt>
                <c:pt idx="1">
                  <c:v>5.441647470650337</c:v>
                </c:pt>
                <c:pt idx="2">
                  <c:v>5.9413477720084433</c:v>
                </c:pt>
                <c:pt idx="3">
                  <c:v>6.4410480732761002</c:v>
                </c:pt>
                <c:pt idx="4">
                  <c:v>6.9407483744580798</c:v>
                </c:pt>
                <c:pt idx="5">
                  <c:v>7.4404486755478096</c:v>
                </c:pt>
                <c:pt idx="6">
                  <c:v>7.9401489765510398</c:v>
                </c:pt>
                <c:pt idx="7">
                  <c:v>8.4398492774660294</c:v>
                </c:pt>
                <c:pt idx="8">
                  <c:v>8.9395495782908494</c:v>
                </c:pt>
                <c:pt idx="9">
                  <c:v>9.4392498790272104</c:v>
                </c:pt>
              </c:numCache>
            </c:numRef>
          </c:xVal>
          <c:yVal>
            <c:numRef>
              <c:f>'Steps 1.2-1.4'!$I$2:$I$11</c:f>
              <c:numCache>
                <c:formatCode>0.00E+00</c:formatCode>
                <c:ptCount val="10"/>
                <c:pt idx="0">
                  <c:v>5.5805283079423292E-3</c:v>
                </c:pt>
                <c:pt idx="1">
                  <c:v>5.5835252934966296E-3</c:v>
                </c:pt>
                <c:pt idx="2">
                  <c:v>5.5865222799155699E-3</c:v>
                </c:pt>
                <c:pt idx="3">
                  <c:v>5.5895192672390003E-3</c:v>
                </c:pt>
                <c:pt idx="4">
                  <c:v>5.5925162554192002E-3</c:v>
                </c:pt>
                <c:pt idx="5">
                  <c:v>5.5955132445218991E-3</c:v>
                </c:pt>
                <c:pt idx="6">
                  <c:v>5.5985102344896023E-3</c:v>
                </c:pt>
                <c:pt idx="7">
                  <c:v>5.6015072253397013E-3</c:v>
                </c:pt>
                <c:pt idx="8">
                  <c:v>5.6045042170915016E-3</c:v>
                </c:pt>
                <c:pt idx="9">
                  <c:v>5.6075012097278965E-3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2-4F5B-904B-37210A535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1.2-1.4'!$E$12:$E$21</c:f>
              <c:numCache>
                <c:formatCode>0.000</c:formatCode>
                <c:ptCount val="10"/>
                <c:pt idx="0">
                  <c:v>4.5027908892329878</c:v>
                </c:pt>
                <c:pt idx="1">
                  <c:v>5.0025238851614757</c:v>
                </c:pt>
                <c:pt idx="2">
                  <c:v>5.5022568804329</c:v>
                </c:pt>
                <c:pt idx="3">
                  <c:v>6.0019898750439697</c:v>
                </c:pt>
                <c:pt idx="4">
                  <c:v>6.5017228689900595</c:v>
                </c:pt>
                <c:pt idx="5">
                  <c:v>7.0014558622756402</c:v>
                </c:pt>
                <c:pt idx="6">
                  <c:v>7.5011888548985501</c:v>
                </c:pt>
                <c:pt idx="7">
                  <c:v>8.0009218468566203</c:v>
                </c:pt>
                <c:pt idx="8">
                  <c:v>8.500654838149341</c:v>
                </c:pt>
                <c:pt idx="9">
                  <c:v>9.000387828777999</c:v>
                </c:pt>
              </c:numCache>
            </c:numRef>
          </c:xVal>
          <c:yVal>
            <c:numRef>
              <c:f>'Steps 1.2-1.4'!$I$12:$I$21</c:f>
              <c:numCache>
                <c:formatCode>0.00E+00</c:formatCode>
                <c:ptCount val="10"/>
                <c:pt idx="0">
                  <c:v>4.9720911076701216E-3</c:v>
                </c:pt>
                <c:pt idx="1">
                  <c:v>4.9747611483852401E-3</c:v>
                </c:pt>
                <c:pt idx="2">
                  <c:v>4.9774311956710003E-3</c:v>
                </c:pt>
                <c:pt idx="3">
                  <c:v>4.9801012495603002E-3</c:v>
                </c:pt>
                <c:pt idx="4">
                  <c:v>4.9827713100994006E-3</c:v>
                </c:pt>
                <c:pt idx="5">
                  <c:v>4.9854413772435976E-3</c:v>
                </c:pt>
                <c:pt idx="6">
                  <c:v>4.9881114510144983E-3</c:v>
                </c:pt>
                <c:pt idx="7">
                  <c:v>4.9907815314338012E-3</c:v>
                </c:pt>
                <c:pt idx="8">
                  <c:v>4.9934516185065995E-3</c:v>
                </c:pt>
                <c:pt idx="9">
                  <c:v>4.9961217122200009E-3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7-4DAE-87A0-7FAEFE092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1.2'!#REF!</c:f>
            </c:numRef>
          </c:xVal>
          <c:yVal>
            <c:numRef>
              <c:f>'Step 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1-4EA5-9A05-6E62F2D3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1.2-1.4'!$E$22:$E$31</c:f>
              <c:numCache>
                <c:formatCode>0.000</c:formatCode>
                <c:ptCount val="10"/>
                <c:pt idx="0">
                  <c:v>4.0652133694952672</c:v>
                </c:pt>
                <c:pt idx="1">
                  <c:v>4.5649799254488661</c:v>
                </c:pt>
                <c:pt idx="2">
                  <c:v>5.0647464767751398</c:v>
                </c:pt>
                <c:pt idx="3">
                  <c:v>5.5645130234710498</c:v>
                </c:pt>
                <c:pt idx="4">
                  <c:v>6.0642795655334005</c:v>
                </c:pt>
                <c:pt idx="5">
                  <c:v>6.5640461029580894</c:v>
                </c:pt>
                <c:pt idx="6">
                  <c:v>7.0638126936456</c:v>
                </c:pt>
                <c:pt idx="7">
                  <c:v>7.5635792100023806</c:v>
                </c:pt>
                <c:pt idx="8">
                  <c:v>8.0633458009231802</c:v>
                </c:pt>
                <c:pt idx="9">
                  <c:v>8.5631123176207797</c:v>
                </c:pt>
              </c:numCache>
            </c:numRef>
          </c:xVal>
          <c:yVal>
            <c:numRef>
              <c:f>'Steps 1.2-1.4'!$I$22:$I$31</c:f>
              <c:numCache>
                <c:formatCode>0.00E+00</c:formatCode>
                <c:ptCount val="10"/>
                <c:pt idx="0">
                  <c:v>4.3478663050473257E-3</c:v>
                </c:pt>
                <c:pt idx="1">
                  <c:v>4.3502007455113404E-3</c:v>
                </c:pt>
                <c:pt idx="2">
                  <c:v>4.3525352322486E-3</c:v>
                </c:pt>
                <c:pt idx="3">
                  <c:v>4.3548697652894992E-3</c:v>
                </c:pt>
                <c:pt idx="4">
                  <c:v>4.3572043446659988E-3</c:v>
                </c:pt>
                <c:pt idx="5">
                  <c:v>4.3595389704191015E-3</c:v>
                </c:pt>
                <c:pt idx="6">
                  <c:v>4.3618730635439995E-3</c:v>
                </c:pt>
                <c:pt idx="7">
                  <c:v>4.3642078999761979E-3</c:v>
                </c:pt>
                <c:pt idx="8">
                  <c:v>4.3665419907681982E-3</c:v>
                </c:pt>
                <c:pt idx="9">
                  <c:v>4.3688768237922027E-3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8-4968-AC70-9E9B91D1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1.2-1.4'!$E$2:$E$11</c:f>
              <c:numCache>
                <c:formatCode>0.000</c:formatCode>
                <c:ptCount val="10"/>
                <c:pt idx="0">
                  <c:v>4.9419471692057675</c:v>
                </c:pt>
                <c:pt idx="1">
                  <c:v>5.441647470650337</c:v>
                </c:pt>
                <c:pt idx="2">
                  <c:v>5.9413477720084433</c:v>
                </c:pt>
                <c:pt idx="3">
                  <c:v>6.4410480732761002</c:v>
                </c:pt>
                <c:pt idx="4">
                  <c:v>6.9407483744580798</c:v>
                </c:pt>
                <c:pt idx="5">
                  <c:v>7.4404486755478096</c:v>
                </c:pt>
                <c:pt idx="6">
                  <c:v>7.9401489765510398</c:v>
                </c:pt>
                <c:pt idx="7">
                  <c:v>8.4398492774660294</c:v>
                </c:pt>
                <c:pt idx="8">
                  <c:v>8.9395495782908494</c:v>
                </c:pt>
                <c:pt idx="9">
                  <c:v>9.4392498790272104</c:v>
                </c:pt>
              </c:numCache>
            </c:numRef>
          </c:xVal>
          <c:yVal>
            <c:numRef>
              <c:f>'Steps 1.2-1.4'!$I$2:$I$11</c:f>
              <c:numCache>
                <c:formatCode>0.00E+00</c:formatCode>
                <c:ptCount val="10"/>
                <c:pt idx="0">
                  <c:v>5.5805283079423292E-3</c:v>
                </c:pt>
                <c:pt idx="1">
                  <c:v>5.5835252934966296E-3</c:v>
                </c:pt>
                <c:pt idx="2">
                  <c:v>5.5865222799155699E-3</c:v>
                </c:pt>
                <c:pt idx="3">
                  <c:v>5.5895192672390003E-3</c:v>
                </c:pt>
                <c:pt idx="4">
                  <c:v>5.5925162554192002E-3</c:v>
                </c:pt>
                <c:pt idx="5">
                  <c:v>5.5955132445218991E-3</c:v>
                </c:pt>
                <c:pt idx="6">
                  <c:v>5.5985102344896023E-3</c:v>
                </c:pt>
                <c:pt idx="7">
                  <c:v>5.6015072253397013E-3</c:v>
                </c:pt>
                <c:pt idx="8">
                  <c:v>5.6045042170915016E-3</c:v>
                </c:pt>
                <c:pt idx="9">
                  <c:v>5.6075012097278965E-3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E-4436-89B8-2CAB38174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</a:t>
            </a:r>
            <a:r>
              <a:rPr lang="en-CA" baseline="0"/>
              <a:t> = -4.5V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908947414601689"/>
                  <c:y val="-0.10034910090937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1.2-1.4'!$E$12:$E$21</c:f>
              <c:numCache>
                <c:formatCode>0.000</c:formatCode>
                <c:ptCount val="10"/>
                <c:pt idx="0">
                  <c:v>4.5027908892329878</c:v>
                </c:pt>
                <c:pt idx="1">
                  <c:v>5.0025238851614757</c:v>
                </c:pt>
                <c:pt idx="2">
                  <c:v>5.5022568804329</c:v>
                </c:pt>
                <c:pt idx="3">
                  <c:v>6.0019898750439697</c:v>
                </c:pt>
                <c:pt idx="4">
                  <c:v>6.5017228689900595</c:v>
                </c:pt>
                <c:pt idx="5">
                  <c:v>7.0014558622756402</c:v>
                </c:pt>
                <c:pt idx="6">
                  <c:v>7.5011888548985501</c:v>
                </c:pt>
                <c:pt idx="7">
                  <c:v>8.0009218468566203</c:v>
                </c:pt>
                <c:pt idx="8">
                  <c:v>8.500654838149341</c:v>
                </c:pt>
                <c:pt idx="9">
                  <c:v>9.000387828777999</c:v>
                </c:pt>
              </c:numCache>
            </c:numRef>
          </c:xVal>
          <c:yVal>
            <c:numRef>
              <c:f>'Steps 1.2-1.4'!$I$12:$I$21</c:f>
              <c:numCache>
                <c:formatCode>0.00E+00</c:formatCode>
                <c:ptCount val="10"/>
                <c:pt idx="0">
                  <c:v>4.9720911076701216E-3</c:v>
                </c:pt>
                <c:pt idx="1">
                  <c:v>4.9747611483852401E-3</c:v>
                </c:pt>
                <c:pt idx="2">
                  <c:v>4.9774311956710003E-3</c:v>
                </c:pt>
                <c:pt idx="3">
                  <c:v>4.9801012495603002E-3</c:v>
                </c:pt>
                <c:pt idx="4">
                  <c:v>4.9827713100994006E-3</c:v>
                </c:pt>
                <c:pt idx="5">
                  <c:v>4.9854413772435976E-3</c:v>
                </c:pt>
                <c:pt idx="6">
                  <c:v>4.9881114510144983E-3</c:v>
                </c:pt>
                <c:pt idx="7">
                  <c:v>4.9907815314338012E-3</c:v>
                </c:pt>
                <c:pt idx="8">
                  <c:v>4.9934516185065995E-3</c:v>
                </c:pt>
                <c:pt idx="9">
                  <c:v>4.9961217122200009E-3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2-4D0A-93F2-E4842C700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084303866864017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1.2-1.4'!$E$22:$E$31</c:f>
              <c:numCache>
                <c:formatCode>0.000</c:formatCode>
                <c:ptCount val="10"/>
                <c:pt idx="0">
                  <c:v>4.0652133694952672</c:v>
                </c:pt>
                <c:pt idx="1">
                  <c:v>4.5649799254488661</c:v>
                </c:pt>
                <c:pt idx="2">
                  <c:v>5.0647464767751398</c:v>
                </c:pt>
                <c:pt idx="3">
                  <c:v>5.5645130234710498</c:v>
                </c:pt>
                <c:pt idx="4">
                  <c:v>6.0642795655334005</c:v>
                </c:pt>
                <c:pt idx="5">
                  <c:v>6.5640461029580894</c:v>
                </c:pt>
                <c:pt idx="6">
                  <c:v>7.0638126936456</c:v>
                </c:pt>
                <c:pt idx="7">
                  <c:v>7.5635792100023806</c:v>
                </c:pt>
                <c:pt idx="8">
                  <c:v>8.0633458009231802</c:v>
                </c:pt>
                <c:pt idx="9">
                  <c:v>8.5631123176207797</c:v>
                </c:pt>
              </c:numCache>
            </c:numRef>
          </c:xVal>
          <c:yVal>
            <c:numRef>
              <c:f>'Steps 1.2-1.4'!$I$22:$I$31</c:f>
              <c:numCache>
                <c:formatCode>0.00E+00</c:formatCode>
                <c:ptCount val="10"/>
                <c:pt idx="0">
                  <c:v>4.3478663050473257E-3</c:v>
                </c:pt>
                <c:pt idx="1">
                  <c:v>4.3502007455113404E-3</c:v>
                </c:pt>
                <c:pt idx="2">
                  <c:v>4.3525352322486E-3</c:v>
                </c:pt>
                <c:pt idx="3">
                  <c:v>4.3548697652894992E-3</c:v>
                </c:pt>
                <c:pt idx="4">
                  <c:v>4.3572043446659988E-3</c:v>
                </c:pt>
                <c:pt idx="5">
                  <c:v>4.3595389704191015E-3</c:v>
                </c:pt>
                <c:pt idx="6">
                  <c:v>4.3618730635439995E-3</c:v>
                </c:pt>
                <c:pt idx="7">
                  <c:v>4.3642078999761979E-3</c:v>
                </c:pt>
                <c:pt idx="8">
                  <c:v>4.3665419907681982E-3</c:v>
                </c:pt>
                <c:pt idx="9">
                  <c:v>4.3688768237922027E-3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7-479A-8AEA-E9D169D8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1.2-1.4'!$E$32:$E$41</c:f>
              <c:numCache>
                <c:formatCode>0.000</c:formatCode>
                <c:ptCount val="10"/>
                <c:pt idx="0">
                  <c:v>3.6292534508698768</c:v>
                </c:pt>
                <c:pt idx="1">
                  <c:v>4.1290544587645028</c:v>
                </c:pt>
                <c:pt idx="2">
                  <c:v>4.6288554367339305</c:v>
                </c:pt>
                <c:pt idx="3">
                  <c:v>5.1286564445945197</c:v>
                </c:pt>
                <c:pt idx="4">
                  <c:v>5.6284574224269202</c:v>
                </c:pt>
                <c:pt idx="5">
                  <c:v>6.1282584304216403</c:v>
                </c:pt>
                <c:pt idx="6">
                  <c:v>6.6280594083589399</c:v>
                </c:pt>
                <c:pt idx="7">
                  <c:v>7.1278604162484802</c:v>
                </c:pt>
                <c:pt idx="8">
                  <c:v>7.6276613940493103</c:v>
                </c:pt>
                <c:pt idx="9">
                  <c:v>8.1274624020732311</c:v>
                </c:pt>
              </c:numCache>
            </c:numRef>
          </c:xVal>
          <c:yVal>
            <c:numRef>
              <c:f>'Steps 1.2-1.4'!$I$32:$I$41</c:f>
              <c:numCache>
                <c:formatCode>0.00E+00</c:formatCode>
                <c:ptCount val="10"/>
                <c:pt idx="0">
                  <c:v>3.7074654913012302E-3</c:v>
                </c:pt>
                <c:pt idx="1">
                  <c:v>3.7094554123549696E-3</c:v>
                </c:pt>
                <c:pt idx="2">
                  <c:v>3.7114456326606993E-3</c:v>
                </c:pt>
                <c:pt idx="3">
                  <c:v>3.7134355540548005E-3</c:v>
                </c:pt>
                <c:pt idx="4">
                  <c:v>3.7154257757307987E-3</c:v>
                </c:pt>
                <c:pt idx="5">
                  <c:v>3.7174156957836013E-3</c:v>
                </c:pt>
                <c:pt idx="6">
                  <c:v>3.7194059164106009E-3</c:v>
                </c:pt>
                <c:pt idx="7">
                  <c:v>3.721395837515198E-3</c:v>
                </c:pt>
                <c:pt idx="8">
                  <c:v>3.7233860595068968E-3</c:v>
                </c:pt>
                <c:pt idx="9">
                  <c:v>3.7253759792676977E-3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6-4560-BE84-E019E0B4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187364778658687"/>
                  <c:y val="-0.1342689705184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1.2-1.4'!$E$42:$E$51</c:f>
              <c:numCache>
                <c:formatCode>0.000</c:formatCode>
                <c:ptCount val="10"/>
                <c:pt idx="0">
                  <c:v>3.194887534262862</c:v>
                </c:pt>
                <c:pt idx="1">
                  <c:v>3.6947238297456328</c:v>
                </c:pt>
                <c:pt idx="2">
                  <c:v>4.1945601252264204</c:v>
                </c:pt>
                <c:pt idx="3">
                  <c:v>4.6943964207071103</c:v>
                </c:pt>
                <c:pt idx="4">
                  <c:v>5.1942327161869795</c:v>
                </c:pt>
                <c:pt idx="5">
                  <c:v>5.6940690116684998</c:v>
                </c:pt>
                <c:pt idx="6">
                  <c:v>6.1939053071459602</c:v>
                </c:pt>
                <c:pt idx="7">
                  <c:v>6.69374160262484</c:v>
                </c:pt>
                <c:pt idx="8">
                  <c:v>7.1935778981030696</c:v>
                </c:pt>
                <c:pt idx="9">
                  <c:v>7.6934141935801597</c:v>
                </c:pt>
              </c:numCache>
            </c:numRef>
          </c:xVal>
          <c:yVal>
            <c:numRef>
              <c:f>'Steps 1.2-1.4'!$I$42:$I$51</c:f>
              <c:numCache>
                <c:formatCode>0.00E+00</c:formatCode>
                <c:ptCount val="10"/>
                <c:pt idx="0">
                  <c:v>3.0511246573713801E-3</c:v>
                </c:pt>
                <c:pt idx="1">
                  <c:v>3.0527617025436706E-3</c:v>
                </c:pt>
                <c:pt idx="2">
                  <c:v>3.0543987477358002E-3</c:v>
                </c:pt>
                <c:pt idx="3">
                  <c:v>3.0560357929288995E-3</c:v>
                </c:pt>
                <c:pt idx="4">
                  <c:v>3.0576728381302011E-3</c:v>
                </c:pt>
                <c:pt idx="5">
                  <c:v>3.059309883314998E-3</c:v>
                </c:pt>
                <c:pt idx="6">
                  <c:v>3.0609469285403979E-3</c:v>
                </c:pt>
                <c:pt idx="7">
                  <c:v>3.0625839737516004E-3</c:v>
                </c:pt>
                <c:pt idx="8">
                  <c:v>3.0642210189693042E-3</c:v>
                </c:pt>
                <c:pt idx="9">
                  <c:v>3.0658580641984034E-3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E-43F1-940D-7FE556E9B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1.2-1.4'!$E$52:$E$61</c:f>
              <c:numCache>
                <c:formatCode>0.000</c:formatCode>
                <c:ptCount val="10"/>
                <c:pt idx="0">
                  <c:v>2.7619528645991278</c:v>
                </c:pt>
                <c:pt idx="1">
                  <c:v>3.2618252304203499</c:v>
                </c:pt>
                <c:pt idx="2">
                  <c:v>3.7616975962319099</c:v>
                </c:pt>
                <c:pt idx="3">
                  <c:v>4.2615699620326302</c:v>
                </c:pt>
                <c:pt idx="4">
                  <c:v>4.7614423278242501</c:v>
                </c:pt>
                <c:pt idx="5">
                  <c:v>5.2613146936065593</c:v>
                </c:pt>
                <c:pt idx="6">
                  <c:v>5.7611870593787202</c:v>
                </c:pt>
                <c:pt idx="7">
                  <c:v>6.2610594251404201</c:v>
                </c:pt>
                <c:pt idx="8">
                  <c:v>6.7609317908932098</c:v>
                </c:pt>
                <c:pt idx="9">
                  <c:v>7.2608041566366701</c:v>
                </c:pt>
              </c:numCache>
            </c:numRef>
          </c:xVal>
          <c:yVal>
            <c:numRef>
              <c:f>'Steps 1.2-1.4'!$I$52:$I$61</c:f>
              <c:numCache>
                <c:formatCode>0.00E+00</c:formatCode>
                <c:ptCount val="10"/>
                <c:pt idx="0">
                  <c:v>2.3804713540087202E-3</c:v>
                </c:pt>
                <c:pt idx="1">
                  <c:v>2.3817476957964999E-3</c:v>
                </c:pt>
                <c:pt idx="2">
                  <c:v>2.383024037680901E-3</c:v>
                </c:pt>
                <c:pt idx="3">
                  <c:v>2.3843003796737007E-3</c:v>
                </c:pt>
                <c:pt idx="4">
                  <c:v>2.3855767217574987E-3</c:v>
                </c:pt>
                <c:pt idx="5">
                  <c:v>2.386853063934402E-3</c:v>
                </c:pt>
                <c:pt idx="6">
                  <c:v>2.3881294062127979E-3</c:v>
                </c:pt>
                <c:pt idx="7">
                  <c:v>2.3894057485957989E-3</c:v>
                </c:pt>
                <c:pt idx="8">
                  <c:v>2.3906820910679018E-3</c:v>
                </c:pt>
                <c:pt idx="9">
                  <c:v>2.391958433633299E-3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8-4780-904A-E19627B6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1.2-1.4'!$E$62:$E$71</c:f>
              <c:numCache>
                <c:formatCode>0.000</c:formatCode>
                <c:ptCount val="10"/>
                <c:pt idx="0">
                  <c:v>2.3299608854373481</c:v>
                </c:pt>
                <c:pt idx="1">
                  <c:v>2.8298698138027962</c:v>
                </c:pt>
                <c:pt idx="2">
                  <c:v>3.32977874224924</c:v>
                </c:pt>
                <c:pt idx="3">
                  <c:v>3.82968767077727</c:v>
                </c:pt>
                <c:pt idx="4">
                  <c:v>4.3295965993892001</c:v>
                </c:pt>
                <c:pt idx="5">
                  <c:v>4.82950552742279</c:v>
                </c:pt>
                <c:pt idx="6">
                  <c:v>5.3294144561886405</c:v>
                </c:pt>
                <c:pt idx="7">
                  <c:v>5.8293233842317704</c:v>
                </c:pt>
                <c:pt idx="8">
                  <c:v>6.3292323130052104</c:v>
                </c:pt>
                <c:pt idx="9">
                  <c:v>6.8291412410376804</c:v>
                </c:pt>
              </c:numCache>
            </c:numRef>
          </c:xVal>
          <c:yVal>
            <c:numRef>
              <c:f>'Steps 1.2-1.4'!$I$62:$I$71</c:f>
              <c:numCache>
                <c:formatCode>0.00E+00</c:formatCode>
                <c:ptCount val="10"/>
                <c:pt idx="0">
                  <c:v>1.7003911456265203E-3</c:v>
                </c:pt>
                <c:pt idx="1">
                  <c:v>1.7013018619720399E-3</c:v>
                </c:pt>
                <c:pt idx="2">
                  <c:v>1.7022125775076002E-3</c:v>
                </c:pt>
                <c:pt idx="3">
                  <c:v>1.7031232922272998E-3</c:v>
                </c:pt>
                <c:pt idx="4">
                  <c:v>1.7040340061079994E-3</c:v>
                </c:pt>
                <c:pt idx="5">
                  <c:v>1.7049447257720994E-3</c:v>
                </c:pt>
                <c:pt idx="6">
                  <c:v>1.7058554381135993E-3</c:v>
                </c:pt>
                <c:pt idx="7">
                  <c:v>1.7067661576823001E-3</c:v>
                </c:pt>
                <c:pt idx="8">
                  <c:v>1.707676869947896E-3</c:v>
                </c:pt>
                <c:pt idx="9">
                  <c:v>1.7085875896231961E-3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5-460D-8374-415024CAA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243072595593362"/>
                  <c:y val="-0.121511302878861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1.2-1.4'!$E$72:$E$81</c:f>
              <c:numCache>
                <c:formatCode>0.000</c:formatCode>
                <c:ptCount val="10"/>
                <c:pt idx="0">
                  <c:v>1.8975582955244441</c:v>
                </c:pt>
                <c:pt idx="1">
                  <c:v>2.3975035296684819</c:v>
                </c:pt>
                <c:pt idx="2">
                  <c:v>2.89744876381247</c:v>
                </c:pt>
                <c:pt idx="3">
                  <c:v>3.3973939979568799</c:v>
                </c:pt>
                <c:pt idx="4">
                  <c:v>3.8973392321005602</c:v>
                </c:pt>
                <c:pt idx="5">
                  <c:v>4.3972844662441002</c:v>
                </c:pt>
                <c:pt idx="6">
                  <c:v>4.8972297003872001</c:v>
                </c:pt>
                <c:pt idx="7">
                  <c:v>5.3971749345309199</c:v>
                </c:pt>
                <c:pt idx="8">
                  <c:v>5.8971201686734602</c:v>
                </c:pt>
                <c:pt idx="9">
                  <c:v>6.3970654028166098</c:v>
                </c:pt>
              </c:numCache>
            </c:numRef>
          </c:xVal>
          <c:yVal>
            <c:numRef>
              <c:f>'Steps 1.2-1.4'!$I$72:$I$81</c:f>
              <c:numCache>
                <c:formatCode>0.00E+00</c:formatCode>
                <c:ptCount val="10"/>
                <c:pt idx="0">
                  <c:v>1.0244170447555601E-3</c:v>
                </c:pt>
                <c:pt idx="1">
                  <c:v>1.0249647033151799E-3</c:v>
                </c:pt>
                <c:pt idx="2">
                  <c:v>1.0255123618753005E-3</c:v>
                </c:pt>
                <c:pt idx="3">
                  <c:v>1.0260600204312009E-3</c:v>
                </c:pt>
                <c:pt idx="4">
                  <c:v>1.0266076789943979E-3</c:v>
                </c:pt>
                <c:pt idx="5">
                  <c:v>1.0271553375589982E-3</c:v>
                </c:pt>
                <c:pt idx="6">
                  <c:v>1.0277029961279992E-3</c:v>
                </c:pt>
                <c:pt idx="7">
                  <c:v>1.028250654690801E-3</c:v>
                </c:pt>
                <c:pt idx="8">
                  <c:v>1.0287983132653978E-3</c:v>
                </c:pt>
                <c:pt idx="9">
                  <c:v>1.0293459718339016E-3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F-4976-8888-7B211CEE2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VE = -1V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4056973025160279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1.2-1.4'!$E$82:$E$91</c:f>
              <c:numCache>
                <c:formatCode>0.000</c:formatCode>
                <c:ptCount val="10"/>
                <c:pt idx="0">
                  <c:v>1.460429885744446</c:v>
                </c:pt>
                <c:pt idx="1">
                  <c:v>1.9604088119234921</c:v>
                </c:pt>
                <c:pt idx="2">
                  <c:v>2.46038773810209</c:v>
                </c:pt>
                <c:pt idx="3">
                  <c:v>2.9603666642805599</c:v>
                </c:pt>
                <c:pt idx="4">
                  <c:v>3.4603455904585498</c:v>
                </c:pt>
                <c:pt idx="5">
                  <c:v>3.9603245166362901</c:v>
                </c:pt>
                <c:pt idx="6">
                  <c:v>4.4603034428136201</c:v>
                </c:pt>
                <c:pt idx="7">
                  <c:v>4.9602823689905602</c:v>
                </c:pt>
                <c:pt idx="8">
                  <c:v>5.4602612951671903</c:v>
                </c:pt>
                <c:pt idx="9">
                  <c:v>5.9602402213437102</c:v>
                </c:pt>
              </c:numCache>
            </c:numRef>
          </c:xVal>
          <c:yVal>
            <c:numRef>
              <c:f>'Steps 1.2-1.4'!$I$82:$I$91</c:f>
              <c:numCache>
                <c:formatCode>0.00E+00</c:formatCode>
                <c:ptCount val="10"/>
                <c:pt idx="0">
                  <c:v>3.9570114255554011E-4</c:v>
                </c:pt>
                <c:pt idx="1">
                  <c:v>3.9591188076507967E-4</c:v>
                </c:pt>
                <c:pt idx="2">
                  <c:v>3.9612261897910007E-4</c:v>
                </c:pt>
                <c:pt idx="3">
                  <c:v>3.9633335719440054E-4</c:v>
                </c:pt>
                <c:pt idx="4">
                  <c:v>3.9654409541450163E-4</c:v>
                </c:pt>
                <c:pt idx="5">
                  <c:v>3.9675483363709851E-4</c:v>
                </c:pt>
                <c:pt idx="6">
                  <c:v>3.9696557186379877E-4</c:v>
                </c:pt>
                <c:pt idx="7">
                  <c:v>3.9717631009439814E-4</c:v>
                </c:pt>
                <c:pt idx="8">
                  <c:v>3.9738704832809724E-4</c:v>
                </c:pt>
                <c:pt idx="9">
                  <c:v>3.9759778656289768E-4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2-4D2B-86A2-806AB73D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96967517464817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1.8'!$E$2:$E$11</c:f>
              <c:numCache>
                <c:formatCode>General</c:formatCode>
                <c:ptCount val="10"/>
                <c:pt idx="0">
                  <c:v>4.7925000000000004</c:v>
                </c:pt>
                <c:pt idx="1">
                  <c:v>5.2641400000000003</c:v>
                </c:pt>
                <c:pt idx="2">
                  <c:v>5.7563599999999999</c:v>
                </c:pt>
                <c:pt idx="3">
                  <c:v>6.2470600000000003</c:v>
                </c:pt>
                <c:pt idx="4">
                  <c:v>6.7371999999999996</c:v>
                </c:pt>
                <c:pt idx="5">
                  <c:v>7.2258200000000006</c:v>
                </c:pt>
                <c:pt idx="6">
                  <c:v>7.7186000000000003</c:v>
                </c:pt>
                <c:pt idx="7">
                  <c:v>8.2108799999999995</c:v>
                </c:pt>
                <c:pt idx="8">
                  <c:v>8.7036600000000011</c:v>
                </c:pt>
                <c:pt idx="9">
                  <c:v>9.1904599999999999</c:v>
                </c:pt>
              </c:numCache>
            </c:numRef>
          </c:xVal>
          <c:yVal>
            <c:numRef>
              <c:f>'Step 1.8'!$I$2:$I$11</c:f>
              <c:numCache>
                <c:formatCode>0.00E+00</c:formatCode>
                <c:ptCount val="10"/>
                <c:pt idx="0">
                  <c:v>7.0750000000000006E-3</c:v>
                </c:pt>
                <c:pt idx="1">
                  <c:v>7.3585999999999999E-3</c:v>
                </c:pt>
                <c:pt idx="2">
                  <c:v>7.4363999999999984E-3</c:v>
                </c:pt>
                <c:pt idx="3">
                  <c:v>7.5293999999999995E-3</c:v>
                </c:pt>
                <c:pt idx="4">
                  <c:v>7.6279999999999994E-3</c:v>
                </c:pt>
                <c:pt idx="5">
                  <c:v>7.7417999999999983E-3</c:v>
                </c:pt>
                <c:pt idx="6">
                  <c:v>7.8139999999999963E-3</c:v>
                </c:pt>
                <c:pt idx="7">
                  <c:v>7.8911999999999958E-3</c:v>
                </c:pt>
                <c:pt idx="8">
                  <c:v>7.9633999999999937E-3</c:v>
                </c:pt>
                <c:pt idx="9">
                  <c:v>8.0954000000000009E-3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1-49B9-A8BC-22FCF940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1.8'!$E$12:$E$21</c:f>
              <c:numCache>
                <c:formatCode>General</c:formatCode>
                <c:ptCount val="10"/>
                <c:pt idx="0">
                  <c:v>4.3291199999999996</c:v>
                </c:pt>
                <c:pt idx="1">
                  <c:v>4.81752</c:v>
                </c:pt>
                <c:pt idx="2">
                  <c:v>5.3189000000000002</c:v>
                </c:pt>
                <c:pt idx="3">
                  <c:v>5.8167400000000002</c:v>
                </c:pt>
                <c:pt idx="4">
                  <c:v>6.3135599999999998</c:v>
                </c:pt>
                <c:pt idx="5">
                  <c:v>6.8078199999999995</c:v>
                </c:pt>
                <c:pt idx="6">
                  <c:v>7.3033599999999996</c:v>
                </c:pt>
                <c:pt idx="7">
                  <c:v>7.8049800000000005</c:v>
                </c:pt>
                <c:pt idx="8">
                  <c:v>8.2967600000000008</c:v>
                </c:pt>
                <c:pt idx="9">
                  <c:v>8.7901000000000007</c:v>
                </c:pt>
              </c:numCache>
            </c:numRef>
          </c:xVal>
          <c:yVal>
            <c:numRef>
              <c:f>'Step 1.8'!$I$12:$I$21</c:f>
              <c:numCache>
                <c:formatCode>0.00E+00</c:formatCode>
                <c:ptCount val="10"/>
                <c:pt idx="0">
                  <c:v>6.7088E-3</c:v>
                </c:pt>
                <c:pt idx="1">
                  <c:v>6.8247999999999998E-3</c:v>
                </c:pt>
                <c:pt idx="2">
                  <c:v>6.8110000000000002E-3</c:v>
                </c:pt>
                <c:pt idx="3">
                  <c:v>6.8325999999999994E-3</c:v>
                </c:pt>
                <c:pt idx="4">
                  <c:v>6.8643999999999997E-3</c:v>
                </c:pt>
                <c:pt idx="5">
                  <c:v>6.9218000000000005E-3</c:v>
                </c:pt>
                <c:pt idx="6">
                  <c:v>6.9663999999999993E-3</c:v>
                </c:pt>
                <c:pt idx="7">
                  <c:v>6.9501999999999949E-3</c:v>
                </c:pt>
                <c:pt idx="8">
                  <c:v>7.0323999999999968E-3</c:v>
                </c:pt>
                <c:pt idx="9">
                  <c:v>7.0989999999999933E-3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69-4B25-857B-98E277CE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1.5'!#REF!</c:f>
            </c:numRef>
          </c:xVal>
          <c:yVal>
            <c:numRef>
              <c:f>'Step 1.5'!#REF!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3-46F3-B74D-9972899D3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VE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1.8'!$E$22:$E$31</c:f>
              <c:numCache>
                <c:formatCode>General</c:formatCode>
                <c:ptCount val="10"/>
                <c:pt idx="0">
                  <c:v>3.9280599999999999</c:v>
                </c:pt>
                <c:pt idx="1">
                  <c:v>4.4135999999999997</c:v>
                </c:pt>
                <c:pt idx="2">
                  <c:v>4.9150999999999998</c:v>
                </c:pt>
                <c:pt idx="3">
                  <c:v>5.4198199999999996</c:v>
                </c:pt>
                <c:pt idx="4">
                  <c:v>5.9148800000000001</c:v>
                </c:pt>
                <c:pt idx="5">
                  <c:v>6.4132600000000002</c:v>
                </c:pt>
                <c:pt idx="6">
                  <c:v>6.9102600000000001</c:v>
                </c:pt>
                <c:pt idx="7">
                  <c:v>7.4094199999999999</c:v>
                </c:pt>
                <c:pt idx="8">
                  <c:v>7.8985199999999995</c:v>
                </c:pt>
                <c:pt idx="9">
                  <c:v>8.3957200000000007</c:v>
                </c:pt>
              </c:numCache>
            </c:numRef>
          </c:xVal>
          <c:yVal>
            <c:numRef>
              <c:f>'Step 1.8'!$I$22:$I$31</c:f>
              <c:numCache>
                <c:formatCode>0.00E+00</c:formatCode>
                <c:ptCount val="10"/>
                <c:pt idx="0">
                  <c:v>5.7194000000000004E-3</c:v>
                </c:pt>
                <c:pt idx="1">
                  <c:v>5.8640000000000003E-3</c:v>
                </c:pt>
                <c:pt idx="2">
                  <c:v>5.849E-3</c:v>
                </c:pt>
                <c:pt idx="3">
                  <c:v>5.8017999999999993E-3</c:v>
                </c:pt>
                <c:pt idx="4">
                  <c:v>5.8511999999999982E-3</c:v>
                </c:pt>
                <c:pt idx="5">
                  <c:v>5.8673999999999983E-3</c:v>
                </c:pt>
                <c:pt idx="6">
                  <c:v>5.8973999999999997E-3</c:v>
                </c:pt>
                <c:pt idx="7">
                  <c:v>5.905800000000001E-3</c:v>
                </c:pt>
                <c:pt idx="8">
                  <c:v>6.0147999999999998E-3</c:v>
                </c:pt>
                <c:pt idx="9">
                  <c:v>6.0428000000000018E-3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A-4D42-AC57-24C3EC05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96967517464817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1.8'!$E$2:$E$11</c:f>
              <c:numCache>
                <c:formatCode>General</c:formatCode>
                <c:ptCount val="10"/>
                <c:pt idx="0">
                  <c:v>4.7925000000000004</c:v>
                </c:pt>
                <c:pt idx="1">
                  <c:v>5.2641400000000003</c:v>
                </c:pt>
                <c:pt idx="2">
                  <c:v>5.7563599999999999</c:v>
                </c:pt>
                <c:pt idx="3">
                  <c:v>6.2470600000000003</c:v>
                </c:pt>
                <c:pt idx="4">
                  <c:v>6.7371999999999996</c:v>
                </c:pt>
                <c:pt idx="5">
                  <c:v>7.2258200000000006</c:v>
                </c:pt>
                <c:pt idx="6">
                  <c:v>7.7186000000000003</c:v>
                </c:pt>
                <c:pt idx="7">
                  <c:v>8.2108799999999995</c:v>
                </c:pt>
                <c:pt idx="8">
                  <c:v>8.7036600000000011</c:v>
                </c:pt>
                <c:pt idx="9">
                  <c:v>9.1904599999999999</c:v>
                </c:pt>
              </c:numCache>
            </c:numRef>
          </c:xVal>
          <c:yVal>
            <c:numRef>
              <c:f>'Step 1.8'!$I$2:$I$11</c:f>
              <c:numCache>
                <c:formatCode>0.00E+00</c:formatCode>
                <c:ptCount val="10"/>
                <c:pt idx="0">
                  <c:v>7.0750000000000006E-3</c:v>
                </c:pt>
                <c:pt idx="1">
                  <c:v>7.3585999999999999E-3</c:v>
                </c:pt>
                <c:pt idx="2">
                  <c:v>7.4363999999999984E-3</c:v>
                </c:pt>
                <c:pt idx="3">
                  <c:v>7.5293999999999995E-3</c:v>
                </c:pt>
                <c:pt idx="4">
                  <c:v>7.6279999999999994E-3</c:v>
                </c:pt>
                <c:pt idx="5">
                  <c:v>7.7417999999999983E-3</c:v>
                </c:pt>
                <c:pt idx="6">
                  <c:v>7.8139999999999963E-3</c:v>
                </c:pt>
                <c:pt idx="7">
                  <c:v>7.8911999999999958E-3</c:v>
                </c:pt>
                <c:pt idx="8">
                  <c:v>7.9633999999999937E-3</c:v>
                </c:pt>
                <c:pt idx="9">
                  <c:v>8.0954000000000009E-3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4-42F5-9FDC-60B9C7A34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</a:t>
            </a:r>
            <a:r>
              <a:rPr lang="en-CA" baseline="0"/>
              <a:t> = -4.5V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821658872222895"/>
                  <c:y val="-0.10699914073107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1.8'!$E$12:$E$21</c:f>
              <c:numCache>
                <c:formatCode>General</c:formatCode>
                <c:ptCount val="10"/>
                <c:pt idx="0">
                  <c:v>4.3291199999999996</c:v>
                </c:pt>
                <c:pt idx="1">
                  <c:v>4.81752</c:v>
                </c:pt>
                <c:pt idx="2">
                  <c:v>5.3189000000000002</c:v>
                </c:pt>
                <c:pt idx="3">
                  <c:v>5.8167400000000002</c:v>
                </c:pt>
                <c:pt idx="4">
                  <c:v>6.3135599999999998</c:v>
                </c:pt>
                <c:pt idx="5">
                  <c:v>6.8078199999999995</c:v>
                </c:pt>
                <c:pt idx="6">
                  <c:v>7.3033599999999996</c:v>
                </c:pt>
                <c:pt idx="7">
                  <c:v>7.8049800000000005</c:v>
                </c:pt>
                <c:pt idx="8">
                  <c:v>8.2967600000000008</c:v>
                </c:pt>
                <c:pt idx="9">
                  <c:v>8.7901000000000007</c:v>
                </c:pt>
              </c:numCache>
            </c:numRef>
          </c:xVal>
          <c:yVal>
            <c:numRef>
              <c:f>'Step 1.8'!$I$12:$I$21</c:f>
              <c:numCache>
                <c:formatCode>0.00E+00</c:formatCode>
                <c:ptCount val="10"/>
                <c:pt idx="0">
                  <c:v>6.7088E-3</c:v>
                </c:pt>
                <c:pt idx="1">
                  <c:v>6.8247999999999998E-3</c:v>
                </c:pt>
                <c:pt idx="2">
                  <c:v>6.8110000000000002E-3</c:v>
                </c:pt>
                <c:pt idx="3">
                  <c:v>6.8325999999999994E-3</c:v>
                </c:pt>
                <c:pt idx="4">
                  <c:v>6.8643999999999997E-3</c:v>
                </c:pt>
                <c:pt idx="5">
                  <c:v>6.9218000000000005E-3</c:v>
                </c:pt>
                <c:pt idx="6">
                  <c:v>6.9663999999999993E-3</c:v>
                </c:pt>
                <c:pt idx="7">
                  <c:v>6.9501999999999949E-3</c:v>
                </c:pt>
                <c:pt idx="8">
                  <c:v>7.0323999999999968E-3</c:v>
                </c:pt>
                <c:pt idx="9">
                  <c:v>7.0989999999999933E-3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F-4505-940C-9AFD10D23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VCE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787016647850181"/>
                  <c:y val="-0.128228345602955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1.8'!$E$22:$E$31</c:f>
              <c:numCache>
                <c:formatCode>General</c:formatCode>
                <c:ptCount val="10"/>
                <c:pt idx="0">
                  <c:v>3.9280599999999999</c:v>
                </c:pt>
                <c:pt idx="1">
                  <c:v>4.4135999999999997</c:v>
                </c:pt>
                <c:pt idx="2">
                  <c:v>4.9150999999999998</c:v>
                </c:pt>
                <c:pt idx="3">
                  <c:v>5.4198199999999996</c:v>
                </c:pt>
                <c:pt idx="4">
                  <c:v>5.9148800000000001</c:v>
                </c:pt>
                <c:pt idx="5">
                  <c:v>6.4132600000000002</c:v>
                </c:pt>
                <c:pt idx="6">
                  <c:v>6.9102600000000001</c:v>
                </c:pt>
                <c:pt idx="7">
                  <c:v>7.4094199999999999</c:v>
                </c:pt>
                <c:pt idx="8">
                  <c:v>7.8985199999999995</c:v>
                </c:pt>
                <c:pt idx="9">
                  <c:v>8.3957200000000007</c:v>
                </c:pt>
              </c:numCache>
            </c:numRef>
          </c:xVal>
          <c:yVal>
            <c:numRef>
              <c:f>'Step 1.8'!$I$22:$I$31</c:f>
              <c:numCache>
                <c:formatCode>0.00E+00</c:formatCode>
                <c:ptCount val="10"/>
                <c:pt idx="0">
                  <c:v>5.7194000000000004E-3</c:v>
                </c:pt>
                <c:pt idx="1">
                  <c:v>5.8640000000000003E-3</c:v>
                </c:pt>
                <c:pt idx="2">
                  <c:v>5.849E-3</c:v>
                </c:pt>
                <c:pt idx="3">
                  <c:v>5.8017999999999993E-3</c:v>
                </c:pt>
                <c:pt idx="4">
                  <c:v>5.8511999999999982E-3</c:v>
                </c:pt>
                <c:pt idx="5">
                  <c:v>5.8673999999999983E-3</c:v>
                </c:pt>
                <c:pt idx="6">
                  <c:v>5.8973999999999997E-3</c:v>
                </c:pt>
                <c:pt idx="7">
                  <c:v>5.905800000000001E-3</c:v>
                </c:pt>
                <c:pt idx="8">
                  <c:v>6.0147999999999998E-3</c:v>
                </c:pt>
                <c:pt idx="9">
                  <c:v>6.0428000000000018E-3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A-4512-B209-AED42873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1.8'!$E$32:$E$41</c:f>
              <c:numCache>
                <c:formatCode>General</c:formatCode>
                <c:ptCount val="10"/>
                <c:pt idx="0">
                  <c:v>3.5132400000000001</c:v>
                </c:pt>
                <c:pt idx="1">
                  <c:v>4.01396</c:v>
                </c:pt>
                <c:pt idx="2">
                  <c:v>4.5134600000000002</c:v>
                </c:pt>
                <c:pt idx="3">
                  <c:v>5.0129400000000004</c:v>
                </c:pt>
                <c:pt idx="4">
                  <c:v>5.5079200000000004</c:v>
                </c:pt>
                <c:pt idx="5">
                  <c:v>6.0056400000000005</c:v>
                </c:pt>
                <c:pt idx="6">
                  <c:v>6.5040399999999998</c:v>
                </c:pt>
                <c:pt idx="7">
                  <c:v>7.0023</c:v>
                </c:pt>
                <c:pt idx="8">
                  <c:v>7.4941800000000001</c:v>
                </c:pt>
                <c:pt idx="9">
                  <c:v>7.9938599999999997</c:v>
                </c:pt>
              </c:numCache>
            </c:numRef>
          </c:xVal>
          <c:yVal>
            <c:numRef>
              <c:f>'Step 1.8'!$I$32:$I$41</c:f>
              <c:numCache>
                <c:formatCode>0.00E+00</c:formatCode>
                <c:ptCount val="10"/>
                <c:pt idx="0">
                  <c:v>4.8675999999999997E-3</c:v>
                </c:pt>
                <c:pt idx="1">
                  <c:v>4.8604E-3</c:v>
                </c:pt>
                <c:pt idx="2">
                  <c:v>4.8653999999999998E-3</c:v>
                </c:pt>
                <c:pt idx="3">
                  <c:v>4.8706000000000001E-3</c:v>
                </c:pt>
                <c:pt idx="4">
                  <c:v>4.9208000000000003E-3</c:v>
                </c:pt>
                <c:pt idx="5">
                  <c:v>4.943599999999995E-3</c:v>
                </c:pt>
                <c:pt idx="6">
                  <c:v>4.9595999999999972E-3</c:v>
                </c:pt>
                <c:pt idx="7">
                  <c:v>4.9770000000000049E-3</c:v>
                </c:pt>
                <c:pt idx="8">
                  <c:v>5.0581999999999997E-3</c:v>
                </c:pt>
                <c:pt idx="9">
                  <c:v>5.0614000000000024E-3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3-4BA5-A02C-CE6549FC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195106428838744"/>
                  <c:y val="-0.16768583724775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1.8'!$E$42:$E$51</c:f>
              <c:numCache>
                <c:formatCode>General</c:formatCode>
                <c:ptCount val="10"/>
                <c:pt idx="0">
                  <c:v>3.1048999999999998</c:v>
                </c:pt>
                <c:pt idx="1">
                  <c:v>3.6073</c:v>
                </c:pt>
                <c:pt idx="2">
                  <c:v>4.1057600000000001</c:v>
                </c:pt>
                <c:pt idx="3">
                  <c:v>4.6044400000000003</c:v>
                </c:pt>
                <c:pt idx="4">
                  <c:v>5.0995800000000004</c:v>
                </c:pt>
                <c:pt idx="5">
                  <c:v>5.5994400000000004</c:v>
                </c:pt>
                <c:pt idx="6">
                  <c:v>6.0978399999999997</c:v>
                </c:pt>
                <c:pt idx="7">
                  <c:v>6.5963599999999998</c:v>
                </c:pt>
                <c:pt idx="8">
                  <c:v>7.0887200000000004</c:v>
                </c:pt>
                <c:pt idx="9">
                  <c:v>7.58514</c:v>
                </c:pt>
              </c:numCache>
            </c:numRef>
          </c:xVal>
          <c:yVal>
            <c:numRef>
              <c:f>'Step 1.8'!$I$42:$I$51</c:f>
              <c:numCache>
                <c:formatCode>0.00E+00</c:formatCode>
                <c:ptCount val="10"/>
                <c:pt idx="0">
                  <c:v>3.9509999999999997E-3</c:v>
                </c:pt>
                <c:pt idx="1">
                  <c:v>3.9270000000000008E-3</c:v>
                </c:pt>
                <c:pt idx="2">
                  <c:v>3.9423999999999996E-3</c:v>
                </c:pt>
                <c:pt idx="3">
                  <c:v>3.955600000000001E-3</c:v>
                </c:pt>
                <c:pt idx="4">
                  <c:v>4.004199999999996E-3</c:v>
                </c:pt>
                <c:pt idx="5">
                  <c:v>4.0055999999999954E-3</c:v>
                </c:pt>
                <c:pt idx="6">
                  <c:v>4.0215999999999984E-3</c:v>
                </c:pt>
                <c:pt idx="7">
                  <c:v>4.0364000000000025E-3</c:v>
                </c:pt>
                <c:pt idx="8">
                  <c:v>4.1127999999999963E-3</c:v>
                </c:pt>
                <c:pt idx="9">
                  <c:v>4.1485999999999997E-3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D-4D34-9F5B-A8D5FD104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1.8'!$E$52:$E$61</c:f>
              <c:numCache>
                <c:formatCode>General</c:formatCode>
                <c:ptCount val="10"/>
                <c:pt idx="0">
                  <c:v>2.7021600000000001</c:v>
                </c:pt>
                <c:pt idx="1">
                  <c:v>3.2019200000000003</c:v>
                </c:pt>
                <c:pt idx="2">
                  <c:v>3.7030799999999999</c:v>
                </c:pt>
                <c:pt idx="3">
                  <c:v>4.1996599999999997</c:v>
                </c:pt>
                <c:pt idx="4">
                  <c:v>4.6977400000000005</c:v>
                </c:pt>
                <c:pt idx="5">
                  <c:v>5.1948400000000001</c:v>
                </c:pt>
                <c:pt idx="6">
                  <c:v>5.6957200000000006</c:v>
                </c:pt>
                <c:pt idx="7">
                  <c:v>6.1930199999999997</c:v>
                </c:pt>
                <c:pt idx="8">
                  <c:v>6.6860400000000002</c:v>
                </c:pt>
                <c:pt idx="9">
                  <c:v>7.1828000000000003</c:v>
                </c:pt>
              </c:numCache>
            </c:numRef>
          </c:xVal>
          <c:yVal>
            <c:numRef>
              <c:f>'Step 1.8'!$I$52:$I$61</c:f>
              <c:numCache>
                <c:formatCode>0.00E+00</c:formatCode>
                <c:ptCount val="10"/>
                <c:pt idx="0">
                  <c:v>2.9784E-3</c:v>
                </c:pt>
                <c:pt idx="1">
                  <c:v>2.9807999999999992E-3</c:v>
                </c:pt>
                <c:pt idx="2">
                  <c:v>2.9691999999999987E-3</c:v>
                </c:pt>
                <c:pt idx="3">
                  <c:v>3.0033999999999981E-3</c:v>
                </c:pt>
                <c:pt idx="4">
                  <c:v>3.0225999999999951E-3</c:v>
                </c:pt>
                <c:pt idx="5">
                  <c:v>3.0515999999999989E-3</c:v>
                </c:pt>
                <c:pt idx="6">
                  <c:v>3.0427999999999944E-3</c:v>
                </c:pt>
                <c:pt idx="7">
                  <c:v>3.0698000000000027E-3</c:v>
                </c:pt>
                <c:pt idx="8">
                  <c:v>3.139599999999998E-3</c:v>
                </c:pt>
                <c:pt idx="9">
                  <c:v>3.1719999999999969E-3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D-4AC7-89EA-9C3B53C6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1.8'!$E$62:$E$71</c:f>
              <c:numCache>
                <c:formatCode>General</c:formatCode>
                <c:ptCount val="10"/>
                <c:pt idx="0">
                  <c:v>2.2904599999999999</c:v>
                </c:pt>
                <c:pt idx="1">
                  <c:v>2.7909800000000002</c:v>
                </c:pt>
                <c:pt idx="2">
                  <c:v>3.2892400000000004</c:v>
                </c:pt>
                <c:pt idx="3">
                  <c:v>3.7882400000000001</c:v>
                </c:pt>
                <c:pt idx="4">
                  <c:v>4.2831799999999998</c:v>
                </c:pt>
                <c:pt idx="5">
                  <c:v>4.7836400000000001</c:v>
                </c:pt>
                <c:pt idx="6">
                  <c:v>5.28308</c:v>
                </c:pt>
                <c:pt idx="7">
                  <c:v>5.7827200000000003</c:v>
                </c:pt>
                <c:pt idx="8">
                  <c:v>6.2781000000000002</c:v>
                </c:pt>
                <c:pt idx="9">
                  <c:v>6.7769199999999996</c:v>
                </c:pt>
              </c:numCache>
            </c:numRef>
          </c:xVal>
          <c:yVal>
            <c:numRef>
              <c:f>'Step 1.8'!$I$62:$I$71</c:f>
              <c:numCache>
                <c:formatCode>0.00E+00</c:formatCode>
                <c:ptCount val="10"/>
                <c:pt idx="0">
                  <c:v>2.0953999999999994E-3</c:v>
                </c:pt>
                <c:pt idx="1">
                  <c:v>2.0902E-3</c:v>
                </c:pt>
                <c:pt idx="2">
                  <c:v>2.1075999999999985E-3</c:v>
                </c:pt>
                <c:pt idx="3">
                  <c:v>2.1175999999999994E-3</c:v>
                </c:pt>
                <c:pt idx="4">
                  <c:v>2.1681999999999977E-3</c:v>
                </c:pt>
                <c:pt idx="5">
                  <c:v>2.1635999999999943E-3</c:v>
                </c:pt>
                <c:pt idx="6">
                  <c:v>2.1692000000000044E-3</c:v>
                </c:pt>
                <c:pt idx="7">
                  <c:v>2.1727999999999969E-3</c:v>
                </c:pt>
                <c:pt idx="8">
                  <c:v>2.2189999999999975E-3</c:v>
                </c:pt>
                <c:pt idx="9">
                  <c:v>2.2308000000000037E-3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31-473F-9A8A-4AA91EDE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084054988716853"/>
                  <c:y val="-0.29698106323845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1.8'!$E$72:$E$81</c:f>
              <c:numCache>
                <c:formatCode>General</c:formatCode>
                <c:ptCount val="10"/>
                <c:pt idx="0">
                  <c:v>1.8786400000000001</c:v>
                </c:pt>
                <c:pt idx="1">
                  <c:v>2.3786399999999999</c:v>
                </c:pt>
                <c:pt idx="2">
                  <c:v>2.8764599999999998</c:v>
                </c:pt>
                <c:pt idx="3">
                  <c:v>3.3772000000000002</c:v>
                </c:pt>
                <c:pt idx="4">
                  <c:v>3.8785400000000001</c:v>
                </c:pt>
                <c:pt idx="5">
                  <c:v>4.3775599999999999</c:v>
                </c:pt>
                <c:pt idx="6">
                  <c:v>4.8770800000000003</c:v>
                </c:pt>
                <c:pt idx="7">
                  <c:v>5.3689200000000001</c:v>
                </c:pt>
                <c:pt idx="8">
                  <c:v>5.8697400000000002</c:v>
                </c:pt>
                <c:pt idx="9">
                  <c:v>6.36754</c:v>
                </c:pt>
              </c:numCache>
            </c:numRef>
          </c:xVal>
          <c:yVal>
            <c:numRef>
              <c:f>'Step 1.8'!$I$72:$I$81</c:f>
              <c:numCache>
                <c:formatCode>0.00E+00</c:formatCode>
                <c:ptCount val="10"/>
                <c:pt idx="0">
                  <c:v>1.2135999999999996E-3</c:v>
                </c:pt>
                <c:pt idx="1">
                  <c:v>1.2135999999999991E-3</c:v>
                </c:pt>
                <c:pt idx="2">
                  <c:v>1.2353999999999998E-3</c:v>
                </c:pt>
                <c:pt idx="3">
                  <c:v>1.227999999999998E-3</c:v>
                </c:pt>
                <c:pt idx="4">
                  <c:v>1.2145999999999991E-3</c:v>
                </c:pt>
                <c:pt idx="5">
                  <c:v>1.2244000000000011E-3</c:v>
                </c:pt>
                <c:pt idx="6">
                  <c:v>1.2291999999999969E-3</c:v>
                </c:pt>
                <c:pt idx="7">
                  <c:v>1.3107999999999987E-3</c:v>
                </c:pt>
                <c:pt idx="8">
                  <c:v>1.3025999999999982E-3</c:v>
                </c:pt>
                <c:pt idx="9">
                  <c:v>1.3246000000000002E-3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7-4DA6-B8B2-59773EB0C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V- = -1V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927276463418644"/>
                  <c:y val="-0.30486913017432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1.8'!$E$82:$E$91</c:f>
              <c:numCache>
                <c:formatCode>General</c:formatCode>
                <c:ptCount val="10"/>
                <c:pt idx="0">
                  <c:v>1.50786</c:v>
                </c:pt>
                <c:pt idx="1">
                  <c:v>1.96594</c:v>
                </c:pt>
                <c:pt idx="2">
                  <c:v>2.4647999999999999</c:v>
                </c:pt>
                <c:pt idx="3">
                  <c:v>2.9601600000000001</c:v>
                </c:pt>
                <c:pt idx="4">
                  <c:v>3.4585599999999999</c:v>
                </c:pt>
                <c:pt idx="5">
                  <c:v>3.9591400000000005</c:v>
                </c:pt>
                <c:pt idx="6">
                  <c:v>4.4582800000000002</c:v>
                </c:pt>
                <c:pt idx="7">
                  <c:v>4.9503600000000008</c:v>
                </c:pt>
                <c:pt idx="8">
                  <c:v>5.4504599999999996</c:v>
                </c:pt>
                <c:pt idx="9">
                  <c:v>5.9505600000000003</c:v>
                </c:pt>
              </c:numCache>
            </c:numRef>
          </c:xVal>
          <c:yVal>
            <c:numRef>
              <c:f>'Step 1.8'!$I$82:$I$91</c:f>
              <c:numCache>
                <c:formatCode>0.00E+00</c:formatCode>
                <c:ptCount val="10"/>
                <c:pt idx="1">
                  <c:v>3.4059999999999977E-4</c:v>
                </c:pt>
                <c:pt idx="2">
                  <c:v>3.5200000000000118E-4</c:v>
                </c:pt>
                <c:pt idx="3">
                  <c:v>3.9839999999999873E-4</c:v>
                </c:pt>
                <c:pt idx="4">
                  <c:v>4.1440000000000145E-4</c:v>
                </c:pt>
                <c:pt idx="5">
                  <c:v>4.0859999999999454E-4</c:v>
                </c:pt>
                <c:pt idx="6">
                  <c:v>4.1719999999999312E-4</c:v>
                </c:pt>
                <c:pt idx="7">
                  <c:v>4.9639999999999244E-4</c:v>
                </c:pt>
                <c:pt idx="8">
                  <c:v>4.9540000000000358E-4</c:v>
                </c:pt>
                <c:pt idx="9">
                  <c:v>4.9439999999999706E-4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F-41F5-B9DC-A5E7B401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=</a:t>
            </a:r>
            <a:r>
              <a:rPr lang="en-CA" baseline="0"/>
              <a:t> VE </a:t>
            </a:r>
            <a:r>
              <a:rPr lang="en-CA"/>
              <a:t>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2.2-2.4'!$E$2:$E$11</c:f>
              <c:numCache>
                <c:formatCode>0.00</c:formatCode>
                <c:ptCount val="10"/>
                <c:pt idx="0">
                  <c:v>9.4341730499938592</c:v>
                </c:pt>
                <c:pt idx="1">
                  <c:v>8.9361045279799693</c:v>
                </c:pt>
                <c:pt idx="2">
                  <c:v>8.43803600591011</c:v>
                </c:pt>
                <c:pt idx="3">
                  <c:v>7.9399674837786804</c:v>
                </c:pt>
                <c:pt idx="4">
                  <c:v>7.4418989615865101</c:v>
                </c:pt>
                <c:pt idx="5">
                  <c:v>6.9438304393402097</c:v>
                </c:pt>
                <c:pt idx="6">
                  <c:v>6.4457619170325202</c:v>
                </c:pt>
                <c:pt idx="7">
                  <c:v>5.9476933946697788</c:v>
                </c:pt>
                <c:pt idx="8">
                  <c:v>5.4496248722522926</c:v>
                </c:pt>
                <c:pt idx="9">
                  <c:v>4.9515563497754957</c:v>
                </c:pt>
              </c:numCache>
            </c:numRef>
          </c:xVal>
          <c:yVal>
            <c:numRef>
              <c:f>'Steps 2.2-2.4'!$I$2:$I$11</c:f>
              <c:numCache>
                <c:formatCode>0.00E+00</c:formatCode>
                <c:ptCount val="10"/>
                <c:pt idx="0">
                  <c:v>5.658269500061399E-3</c:v>
                </c:pt>
                <c:pt idx="1">
                  <c:v>5.638954720200302E-3</c:v>
                </c:pt>
                <c:pt idx="2">
                  <c:v>5.6196399408988996E-3</c:v>
                </c:pt>
                <c:pt idx="3">
                  <c:v>5.6003251622132001E-3</c:v>
                </c:pt>
                <c:pt idx="4">
                  <c:v>5.5810103841348992E-3</c:v>
                </c:pt>
                <c:pt idx="5">
                  <c:v>5.5616956065979006E-3</c:v>
                </c:pt>
                <c:pt idx="6">
                  <c:v>5.5423808296747997E-3</c:v>
                </c:pt>
                <c:pt idx="7">
                  <c:v>5.52306605330221E-3</c:v>
                </c:pt>
                <c:pt idx="8">
                  <c:v>5.5037512774770703E-3</c:v>
                </c:pt>
                <c:pt idx="9">
                  <c:v>5.4844365022450473E-3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6-4533-BD81-874ED91C6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2.2-2.4'!$E$12:$E$21</c:f>
              <c:numCache>
                <c:formatCode>0.00</c:formatCode>
                <c:ptCount val="10"/>
                <c:pt idx="0">
                  <c:v>8.999328062615831</c:v>
                </c:pt>
                <c:pt idx="1">
                  <c:v>8.5010415061986393</c:v>
                </c:pt>
                <c:pt idx="2">
                  <c:v>8.0027549494466399</c:v>
                </c:pt>
                <c:pt idx="3">
                  <c:v>7.5044683923689002</c:v>
                </c:pt>
                <c:pt idx="4">
                  <c:v>7.0061818349661102</c:v>
                </c:pt>
                <c:pt idx="5">
                  <c:v>6.5078952772422802</c:v>
                </c:pt>
                <c:pt idx="6">
                  <c:v>6.00960871919757</c:v>
                </c:pt>
                <c:pt idx="7">
                  <c:v>5.5113221608386702</c:v>
                </c:pt>
                <c:pt idx="8">
                  <c:v>5.0130356021680198</c:v>
                </c:pt>
                <c:pt idx="9">
                  <c:v>4.5147490531239471</c:v>
                </c:pt>
              </c:numCache>
            </c:numRef>
          </c:xVal>
          <c:yVal>
            <c:numRef>
              <c:f>'Steps 2.2-2.4'!$I$12:$I$21</c:f>
              <c:numCache>
                <c:formatCode>0.00E+00</c:formatCode>
                <c:ptCount val="10"/>
                <c:pt idx="0">
                  <c:v>5.0067193738416995E-3</c:v>
                </c:pt>
                <c:pt idx="1">
                  <c:v>4.9895849380135983E-3</c:v>
                </c:pt>
                <c:pt idx="2">
                  <c:v>4.9724505055336009E-3</c:v>
                </c:pt>
                <c:pt idx="3">
                  <c:v>4.9553160763109979E-3</c:v>
                </c:pt>
                <c:pt idx="4">
                  <c:v>4.9381816503389023E-3</c:v>
                </c:pt>
                <c:pt idx="5">
                  <c:v>4.9210472275772023E-3</c:v>
                </c:pt>
                <c:pt idx="6">
                  <c:v>4.9039128080243001E-3</c:v>
                </c:pt>
                <c:pt idx="7">
                  <c:v>4.8867783916133004E-3</c:v>
                </c:pt>
                <c:pt idx="8">
                  <c:v>4.8696439783198001E-3</c:v>
                </c:pt>
                <c:pt idx="9">
                  <c:v>4.8525094687605326E-3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3-4BED-A27B-25E9B661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273536140887034"/>
                  <c:y val="-0.10972151909392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10"/>
              <c:pt idx="0">
                <c:v>2.5</c:v>
              </c:pt>
              <c:pt idx="1">
                <c:v>2.5</c:v>
              </c:pt>
              <c:pt idx="2">
                <c:v>2.5</c:v>
              </c:pt>
              <c:pt idx="3">
                <c:v>2.5</c:v>
              </c:pt>
              <c:pt idx="4">
                <c:v>2.5</c:v>
              </c:pt>
              <c:pt idx="5">
                <c:v>2.5</c:v>
              </c:pt>
              <c:pt idx="6">
                <c:v>2.5</c:v>
              </c:pt>
              <c:pt idx="7">
                <c:v>2.5</c:v>
              </c:pt>
              <c:pt idx="8">
                <c:v>2.5</c:v>
              </c:pt>
              <c:pt idx="9">
                <c:v>2.5</c:v>
              </c:pt>
            </c:numLit>
          </c:xVal>
          <c:yVal>
            <c:numLit>
              <c:formatCode>General</c:formatCode>
              <c:ptCount val="10"/>
              <c:pt idx="0">
                <c:v>0.05</c:v>
              </c:pt>
              <c:pt idx="1">
                <c:v>4.4999999999999998E-2</c:v>
              </c:pt>
              <c:pt idx="2">
                <c:v>0.04</c:v>
              </c:pt>
              <c:pt idx="3">
                <c:v>3.5000000000000003E-2</c:v>
              </c:pt>
              <c:pt idx="4">
                <c:v>0.03</c:v>
              </c:pt>
              <c:pt idx="5">
                <c:v>2.5000000000000001E-2</c:v>
              </c:pt>
              <c:pt idx="6">
                <c:v>0.02</c:v>
              </c:pt>
              <c:pt idx="7">
                <c:v>1.4999999999999999E-2</c:v>
              </c:pt>
              <c:pt idx="8">
                <c:v>0.01</c:v>
              </c:pt>
              <c:pt idx="9">
                <c:v>5.0000000000000001E-3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DEE-4AD6-B887-1CB6B207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04680681700847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2.2-2.4'!$E$22:$E$31</c:f>
              <c:numCache>
                <c:formatCode>0.00</c:formatCode>
                <c:ptCount val="10"/>
                <c:pt idx="0">
                  <c:v>8.5648615347638302</c:v>
                </c:pt>
                <c:pt idx="1">
                  <c:v>8.0663543452909696</c:v>
                </c:pt>
                <c:pt idx="2">
                  <c:v>7.5678471538472696</c:v>
                </c:pt>
                <c:pt idx="3">
                  <c:v>7.0693399604506304</c:v>
                </c:pt>
                <c:pt idx="4">
                  <c:v>6.5708327651204499</c:v>
                </c:pt>
                <c:pt idx="5">
                  <c:v>6.0723255678779999</c:v>
                </c:pt>
                <c:pt idx="6">
                  <c:v>5.5738183928057099</c:v>
                </c:pt>
                <c:pt idx="7">
                  <c:v>5.0753111867897003</c:v>
                </c:pt>
                <c:pt idx="8">
                  <c:v>4.576804011730065</c:v>
                </c:pt>
                <c:pt idx="9">
                  <c:v>4.0782968059915765</c:v>
                </c:pt>
              </c:numCache>
            </c:numRef>
          </c:xVal>
          <c:yVal>
            <c:numRef>
              <c:f>'Steps 2.2-2.4'!$I$22:$I$31</c:f>
              <c:numCache>
                <c:formatCode>0.00E+00</c:formatCode>
                <c:ptCount val="10"/>
                <c:pt idx="0">
                  <c:v>4.3513846523616983E-3</c:v>
                </c:pt>
                <c:pt idx="1">
                  <c:v>4.3364565470903034E-3</c:v>
                </c:pt>
                <c:pt idx="2">
                  <c:v>4.3215284615272997E-3</c:v>
                </c:pt>
                <c:pt idx="3">
                  <c:v>4.3066003954937001E-3</c:v>
                </c:pt>
                <c:pt idx="4">
                  <c:v>4.291672348795501E-3</c:v>
                </c:pt>
                <c:pt idx="5">
                  <c:v>4.276744321220001E-3</c:v>
                </c:pt>
                <c:pt idx="6">
                  <c:v>4.2618160719429012E-3</c:v>
                </c:pt>
                <c:pt idx="7">
                  <c:v>4.2468881321029994E-3</c:v>
                </c:pt>
                <c:pt idx="8">
                  <c:v>4.2319598826993498E-3</c:v>
                </c:pt>
                <c:pt idx="9">
                  <c:v>4.2170319400842392E-3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F8-4218-BB2C-61207FD8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=</a:t>
            </a:r>
            <a:r>
              <a:rPr lang="en-CA" baseline="0"/>
              <a:t> VE </a:t>
            </a:r>
            <a:r>
              <a:rPr lang="en-CA"/>
              <a:t>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08170546742368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2.2-2.4'!$E$2:$E$11</c:f>
              <c:numCache>
                <c:formatCode>0.00</c:formatCode>
                <c:ptCount val="10"/>
                <c:pt idx="0">
                  <c:v>9.4341730499938592</c:v>
                </c:pt>
                <c:pt idx="1">
                  <c:v>8.9361045279799693</c:v>
                </c:pt>
                <c:pt idx="2">
                  <c:v>8.43803600591011</c:v>
                </c:pt>
                <c:pt idx="3">
                  <c:v>7.9399674837786804</c:v>
                </c:pt>
                <c:pt idx="4">
                  <c:v>7.4418989615865101</c:v>
                </c:pt>
                <c:pt idx="5">
                  <c:v>6.9438304393402097</c:v>
                </c:pt>
                <c:pt idx="6">
                  <c:v>6.4457619170325202</c:v>
                </c:pt>
                <c:pt idx="7">
                  <c:v>5.9476933946697788</c:v>
                </c:pt>
                <c:pt idx="8">
                  <c:v>5.4496248722522926</c:v>
                </c:pt>
                <c:pt idx="9">
                  <c:v>4.9515563497754957</c:v>
                </c:pt>
              </c:numCache>
            </c:numRef>
          </c:xVal>
          <c:yVal>
            <c:numRef>
              <c:f>'Steps 2.2-2.4'!$I$2:$I$11</c:f>
              <c:numCache>
                <c:formatCode>0.00E+00</c:formatCode>
                <c:ptCount val="10"/>
                <c:pt idx="0">
                  <c:v>5.658269500061399E-3</c:v>
                </c:pt>
                <c:pt idx="1">
                  <c:v>5.638954720200302E-3</c:v>
                </c:pt>
                <c:pt idx="2">
                  <c:v>5.6196399408988996E-3</c:v>
                </c:pt>
                <c:pt idx="3">
                  <c:v>5.6003251622132001E-3</c:v>
                </c:pt>
                <c:pt idx="4">
                  <c:v>5.5810103841348992E-3</c:v>
                </c:pt>
                <c:pt idx="5">
                  <c:v>5.5616956065979006E-3</c:v>
                </c:pt>
                <c:pt idx="6">
                  <c:v>5.5423808296747997E-3</c:v>
                </c:pt>
                <c:pt idx="7">
                  <c:v>5.52306605330221E-3</c:v>
                </c:pt>
                <c:pt idx="8">
                  <c:v>5.5037512774770703E-3</c:v>
                </c:pt>
                <c:pt idx="9">
                  <c:v>5.4844365022450473E-3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77-4F7A-A6A2-78DA580E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 baseline="0"/>
              <a:t>= 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908947414601689"/>
                  <c:y val="-0.10034910090937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2.2-2.4'!$E$12:$E$21</c:f>
              <c:numCache>
                <c:formatCode>0.00</c:formatCode>
                <c:ptCount val="10"/>
                <c:pt idx="0">
                  <c:v>8.999328062615831</c:v>
                </c:pt>
                <c:pt idx="1">
                  <c:v>8.5010415061986393</c:v>
                </c:pt>
                <c:pt idx="2">
                  <c:v>8.0027549494466399</c:v>
                </c:pt>
                <c:pt idx="3">
                  <c:v>7.5044683923689002</c:v>
                </c:pt>
                <c:pt idx="4">
                  <c:v>7.0061818349661102</c:v>
                </c:pt>
                <c:pt idx="5">
                  <c:v>6.5078952772422802</c:v>
                </c:pt>
                <c:pt idx="6">
                  <c:v>6.00960871919757</c:v>
                </c:pt>
                <c:pt idx="7">
                  <c:v>5.5113221608386702</c:v>
                </c:pt>
                <c:pt idx="8">
                  <c:v>5.0130356021680198</c:v>
                </c:pt>
                <c:pt idx="9">
                  <c:v>4.5147490531239471</c:v>
                </c:pt>
              </c:numCache>
            </c:numRef>
          </c:xVal>
          <c:yVal>
            <c:numRef>
              <c:f>'Steps 2.2-2.4'!$I$12:$I$21</c:f>
              <c:numCache>
                <c:formatCode>0.00E+00</c:formatCode>
                <c:ptCount val="10"/>
                <c:pt idx="0">
                  <c:v>5.0067193738416995E-3</c:v>
                </c:pt>
                <c:pt idx="1">
                  <c:v>4.9895849380135983E-3</c:v>
                </c:pt>
                <c:pt idx="2">
                  <c:v>4.9724505055336009E-3</c:v>
                </c:pt>
                <c:pt idx="3">
                  <c:v>4.9553160763109979E-3</c:v>
                </c:pt>
                <c:pt idx="4">
                  <c:v>4.9381816503389023E-3</c:v>
                </c:pt>
                <c:pt idx="5">
                  <c:v>4.9210472275772023E-3</c:v>
                </c:pt>
                <c:pt idx="6">
                  <c:v>4.9039128080243001E-3</c:v>
                </c:pt>
                <c:pt idx="7">
                  <c:v>4.8867783916133004E-3</c:v>
                </c:pt>
                <c:pt idx="8">
                  <c:v>4.8696439783198001E-3</c:v>
                </c:pt>
                <c:pt idx="9">
                  <c:v>4.8525094687605326E-3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0-42BB-ADBF-CD90DF2E0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084303866864017"/>
                  <c:y val="-0.1080772174306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2.2-2.4'!$E$22:$E$31</c:f>
              <c:numCache>
                <c:formatCode>0.00</c:formatCode>
                <c:ptCount val="10"/>
                <c:pt idx="0">
                  <c:v>8.5648615347638302</c:v>
                </c:pt>
                <c:pt idx="1">
                  <c:v>8.0663543452909696</c:v>
                </c:pt>
                <c:pt idx="2">
                  <c:v>7.5678471538472696</c:v>
                </c:pt>
                <c:pt idx="3">
                  <c:v>7.0693399604506304</c:v>
                </c:pt>
                <c:pt idx="4">
                  <c:v>6.5708327651204499</c:v>
                </c:pt>
                <c:pt idx="5">
                  <c:v>6.0723255678779999</c:v>
                </c:pt>
                <c:pt idx="6">
                  <c:v>5.5738183928057099</c:v>
                </c:pt>
                <c:pt idx="7">
                  <c:v>5.0753111867897003</c:v>
                </c:pt>
                <c:pt idx="8">
                  <c:v>4.576804011730065</c:v>
                </c:pt>
                <c:pt idx="9">
                  <c:v>4.0782968059915765</c:v>
                </c:pt>
              </c:numCache>
            </c:numRef>
          </c:xVal>
          <c:yVal>
            <c:numRef>
              <c:f>'Steps 2.2-2.4'!$I$22:$I$31</c:f>
              <c:numCache>
                <c:formatCode>0.00E+00</c:formatCode>
                <c:ptCount val="10"/>
                <c:pt idx="0">
                  <c:v>4.3513846523616983E-3</c:v>
                </c:pt>
                <c:pt idx="1">
                  <c:v>4.3364565470903034E-3</c:v>
                </c:pt>
                <c:pt idx="2">
                  <c:v>4.3215284615272997E-3</c:v>
                </c:pt>
                <c:pt idx="3">
                  <c:v>4.3066003954937001E-3</c:v>
                </c:pt>
                <c:pt idx="4">
                  <c:v>4.291672348795501E-3</c:v>
                </c:pt>
                <c:pt idx="5">
                  <c:v>4.276744321220001E-3</c:v>
                </c:pt>
                <c:pt idx="6">
                  <c:v>4.2618160719429012E-3</c:v>
                </c:pt>
                <c:pt idx="7">
                  <c:v>4.2468881321029994E-3</c:v>
                </c:pt>
                <c:pt idx="8">
                  <c:v>4.2319598826993498E-3</c:v>
                </c:pt>
                <c:pt idx="9">
                  <c:v>4.2170319400842392E-3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8-46A2-A711-AAC673C8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03178207005728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2.2-2.4'!$E$32:$E$41</c:f>
              <c:numCache>
                <c:formatCode>0.00</c:formatCode>
                <c:ptCount val="10"/>
                <c:pt idx="0">
                  <c:v>8.1307225548550104</c:v>
                </c:pt>
                <c:pt idx="1">
                  <c:v>7.6319923231512998</c:v>
                </c:pt>
                <c:pt idx="2">
                  <c:v>7.1332620806121598</c:v>
                </c:pt>
                <c:pt idx="3">
                  <c:v>6.6345318488112994</c:v>
                </c:pt>
                <c:pt idx="4">
                  <c:v>6.1358016062131302</c:v>
                </c:pt>
                <c:pt idx="5">
                  <c:v>5.6370713744235701</c:v>
                </c:pt>
                <c:pt idx="6">
                  <c:v>5.1383411319009102</c:v>
                </c:pt>
                <c:pt idx="7">
                  <c:v>4.6396108999869696</c:v>
                </c:pt>
                <c:pt idx="8">
                  <c:v>4.1408806574048711</c:v>
                </c:pt>
                <c:pt idx="9">
                  <c:v>3.642150425501574</c:v>
                </c:pt>
              </c:numCache>
            </c:numRef>
          </c:xVal>
          <c:yVal>
            <c:numRef>
              <c:f>'Steps 2.2-2.4'!$I$32:$I$41</c:f>
              <c:numCache>
                <c:formatCode>0.00E+00</c:formatCode>
                <c:ptCount val="10"/>
                <c:pt idx="0">
                  <c:v>3.6927744514498959E-3</c:v>
                </c:pt>
                <c:pt idx="1">
                  <c:v>3.6800767684870019E-3</c:v>
                </c:pt>
                <c:pt idx="2">
                  <c:v>3.6673791938784017E-3</c:v>
                </c:pt>
                <c:pt idx="3">
                  <c:v>3.6546815118870014E-3</c:v>
                </c:pt>
                <c:pt idx="4">
                  <c:v>3.6419839378686982E-3</c:v>
                </c:pt>
                <c:pt idx="5">
                  <c:v>3.6292862557642993E-3</c:v>
                </c:pt>
                <c:pt idx="6">
                  <c:v>3.6165886809909E-3</c:v>
                </c:pt>
                <c:pt idx="7">
                  <c:v>3.6038910001302991E-3</c:v>
                </c:pt>
                <c:pt idx="8">
                  <c:v>3.5911934259512902E-3</c:v>
                </c:pt>
                <c:pt idx="9">
                  <c:v>3.5784957449842602E-3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E-46E4-886D-3F62E967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187364778658687"/>
                  <c:y val="-0.13426897051842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2.2-2.4'!$E$42:$E$51</c:f>
              <c:numCache>
                <c:formatCode>0.00</c:formatCode>
                <c:ptCount val="10"/>
                <c:pt idx="0">
                  <c:v>7.6968182017567797</c:v>
                </c:pt>
                <c:pt idx="1">
                  <c:v>7.1978628518535199</c:v>
                </c:pt>
                <c:pt idx="2">
                  <c:v>6.6989075019356203</c:v>
                </c:pt>
                <c:pt idx="3">
                  <c:v>6.1999521520060199</c:v>
                </c:pt>
                <c:pt idx="4">
                  <c:v>5.7009968020635098</c:v>
                </c:pt>
                <c:pt idx="5">
                  <c:v>5.2020414521076894</c:v>
                </c:pt>
                <c:pt idx="6">
                  <c:v>4.7030861021422501</c:v>
                </c:pt>
                <c:pt idx="7">
                  <c:v>4.2041307521610296</c:v>
                </c:pt>
                <c:pt idx="8">
                  <c:v>3.705175402167614</c:v>
                </c:pt>
                <c:pt idx="9">
                  <c:v>3.2062200521608122</c:v>
                </c:pt>
              </c:numCache>
            </c:numRef>
          </c:xVal>
          <c:yVal>
            <c:numRef>
              <c:f>'Steps 2.2-2.4'!$I$42:$I$51</c:f>
              <c:numCache>
                <c:formatCode>0.00E+00</c:formatCode>
                <c:ptCount val="10"/>
                <c:pt idx="0">
                  <c:v>3.0318179824322033E-3</c:v>
                </c:pt>
                <c:pt idx="1">
                  <c:v>3.0213714814648009E-3</c:v>
                </c:pt>
                <c:pt idx="2">
                  <c:v>3.0109249806438009E-3</c:v>
                </c:pt>
                <c:pt idx="3">
                  <c:v>3.000478479939801E-3</c:v>
                </c:pt>
                <c:pt idx="4">
                  <c:v>2.9900319793649023E-3</c:v>
                </c:pt>
                <c:pt idx="5">
                  <c:v>2.9795854789231011E-3</c:v>
                </c:pt>
                <c:pt idx="6">
                  <c:v>2.9691389785774991E-3</c:v>
                </c:pt>
                <c:pt idx="7">
                  <c:v>2.9586924783896996E-3</c:v>
                </c:pt>
                <c:pt idx="8">
                  <c:v>2.9482459783238602E-3</c:v>
                </c:pt>
                <c:pt idx="9">
                  <c:v>2.9377994783918804E-3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A-4BE7-8CDD-9B4AF3B81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5893315648453703"/>
                  <c:y val="-0.132505539213918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2.2-2.4'!$E$52:$E$61</c:f>
              <c:numCache>
                <c:formatCode>0.00</c:formatCode>
                <c:ptCount val="10"/>
                <c:pt idx="0">
                  <c:v>7.2629783433997801</c:v>
                </c:pt>
                <c:pt idx="1">
                  <c:v>6.7637964532722101</c:v>
                </c:pt>
                <c:pt idx="2">
                  <c:v>6.2646145631304</c:v>
                </c:pt>
                <c:pt idx="3">
                  <c:v>5.7654326729758996</c:v>
                </c:pt>
                <c:pt idx="4">
                  <c:v>5.2662507828058001</c:v>
                </c:pt>
                <c:pt idx="5">
                  <c:v>4.7670688926234801</c:v>
                </c:pt>
                <c:pt idx="6">
                  <c:v>4.26788700242634</c:v>
                </c:pt>
                <c:pt idx="7">
                  <c:v>3.7687051122161703</c:v>
                </c:pt>
                <c:pt idx="8">
                  <c:v>3.269523221991848</c:v>
                </c:pt>
                <c:pt idx="9">
                  <c:v>2.770341331752721</c:v>
                </c:pt>
              </c:numCache>
            </c:numRef>
          </c:xVal>
          <c:yVal>
            <c:numRef>
              <c:f>'Steps 2.2-2.4'!$I$52:$I$61</c:f>
              <c:numCache>
                <c:formatCode>0.00E+00</c:formatCode>
                <c:ptCount val="10"/>
                <c:pt idx="0">
                  <c:v>2.3702165660021992E-3</c:v>
                </c:pt>
                <c:pt idx="1">
                  <c:v>2.3620354672778988E-3</c:v>
                </c:pt>
                <c:pt idx="2">
                  <c:v>2.3538543686960002E-3</c:v>
                </c:pt>
                <c:pt idx="3">
                  <c:v>2.3456732702410001E-3</c:v>
                </c:pt>
                <c:pt idx="4">
                  <c:v>2.3374921719419993E-3</c:v>
                </c:pt>
                <c:pt idx="5">
                  <c:v>2.329311073765199E-3</c:v>
                </c:pt>
                <c:pt idx="6">
                  <c:v>2.3211299757365999E-3</c:v>
                </c:pt>
                <c:pt idx="7">
                  <c:v>2.312948877838299E-3</c:v>
                </c:pt>
                <c:pt idx="8">
                  <c:v>2.3047677800815203E-3</c:v>
                </c:pt>
                <c:pt idx="9">
                  <c:v>2.2965866824727899E-3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3-44D5-AF6C-26C72499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603384238306674"/>
                  <c:y val="-0.1200350853324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2.2-2.4'!$E$62:$E$71</c:f>
              <c:numCache>
                <c:formatCode>0.00</c:formatCode>
                <c:ptCount val="10"/>
                <c:pt idx="0">
                  <c:v>6.8288746520526802</c:v>
                </c:pt>
                <c:pt idx="1">
                  <c:v>6.3294660250039403</c:v>
                </c:pt>
                <c:pt idx="2">
                  <c:v>5.8300573981316806</c:v>
                </c:pt>
                <c:pt idx="3">
                  <c:v>5.3306487714350403</c:v>
                </c:pt>
                <c:pt idx="4">
                  <c:v>4.8312401449115896</c:v>
                </c:pt>
                <c:pt idx="5">
                  <c:v>4.3318315185581895</c:v>
                </c:pt>
                <c:pt idx="6">
                  <c:v>3.8324228900379</c:v>
                </c:pt>
                <c:pt idx="7">
                  <c:v>3.33301426448307</c:v>
                </c:pt>
                <c:pt idx="8">
                  <c:v>2.833605635959707</c:v>
                </c:pt>
                <c:pt idx="9">
                  <c:v>2.3341970103673471</c:v>
                </c:pt>
              </c:numCache>
            </c:numRef>
          </c:xVal>
          <c:yVal>
            <c:numRef>
              <c:f>'Steps 2.2-2.4'!$I$62:$I$71</c:f>
              <c:numCache>
                <c:formatCode>0.00E+00</c:formatCode>
                <c:ptCount val="10"/>
                <c:pt idx="0">
                  <c:v>1.7112534794731982E-3</c:v>
                </c:pt>
                <c:pt idx="1">
                  <c:v>1.705339749960597E-3</c:v>
                </c:pt>
                <c:pt idx="2">
                  <c:v>1.6994260186831988E-3</c:v>
                </c:pt>
                <c:pt idx="3">
                  <c:v>1.6935122856496011E-3</c:v>
                </c:pt>
                <c:pt idx="4">
                  <c:v>1.6875985508840996E-3</c:v>
                </c:pt>
                <c:pt idx="5">
                  <c:v>1.6816848144181008E-3</c:v>
                </c:pt>
                <c:pt idx="6">
                  <c:v>1.6757710996209995E-3</c:v>
                </c:pt>
                <c:pt idx="7">
                  <c:v>1.6698573551692996E-3</c:v>
                </c:pt>
                <c:pt idx="8">
                  <c:v>1.6639436404029294E-3</c:v>
                </c:pt>
                <c:pt idx="9">
                  <c:v>1.65802989632653E-3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C-455B-9453-0AF351FC8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329065755695723"/>
                  <c:y val="-0.118783633873007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2.2-2.4'!$E$72:$E$81</c:f>
              <c:numCache>
                <c:formatCode>0.00</c:formatCode>
                <c:ptCount val="10"/>
                <c:pt idx="0">
                  <c:v>6.3937893258970302</c:v>
                </c:pt>
                <c:pt idx="1">
                  <c:v>5.8941564358488501</c:v>
                </c:pt>
                <c:pt idx="2">
                  <c:v>5.3945235457885197</c:v>
                </c:pt>
                <c:pt idx="3">
                  <c:v>4.8948906557161003</c:v>
                </c:pt>
                <c:pt idx="4">
                  <c:v>4.3952577656292702</c:v>
                </c:pt>
                <c:pt idx="5">
                  <c:v>3.8956248755306899</c:v>
                </c:pt>
                <c:pt idx="6">
                  <c:v>3.3959919854188803</c:v>
                </c:pt>
                <c:pt idx="7">
                  <c:v>2.8963590952944198</c:v>
                </c:pt>
                <c:pt idx="8">
                  <c:v>2.3967262051565239</c:v>
                </c:pt>
                <c:pt idx="9">
                  <c:v>1.8970933150061349</c:v>
                </c:pt>
              </c:numCache>
            </c:numRef>
          </c:xVal>
          <c:yVal>
            <c:numRef>
              <c:f>'Steps 2.2-2.4'!$I$72:$I$81</c:f>
              <c:numCache>
                <c:formatCode>0.00E+00</c:formatCode>
                <c:ptCount val="10"/>
                <c:pt idx="0">
                  <c:v>1.0621067410296981E-3</c:v>
                </c:pt>
                <c:pt idx="1">
                  <c:v>1.0584356415114992E-3</c:v>
                </c:pt>
                <c:pt idx="2">
                  <c:v>1.0547645421147989E-3</c:v>
                </c:pt>
                <c:pt idx="3">
                  <c:v>1.0510934428390017E-3</c:v>
                </c:pt>
                <c:pt idx="4">
                  <c:v>1.0474223437072982E-3</c:v>
                </c:pt>
                <c:pt idx="5">
                  <c:v>1.0437512446931007E-3</c:v>
                </c:pt>
                <c:pt idx="6">
                  <c:v>1.0400801458111996E-3</c:v>
                </c:pt>
                <c:pt idx="7">
                  <c:v>1.0364090470557996E-3</c:v>
                </c:pt>
                <c:pt idx="8">
                  <c:v>1.0327379484347599E-3</c:v>
                </c:pt>
                <c:pt idx="9">
                  <c:v>1.0290668499386502E-3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2-4BD7-A28F-705372712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 </a:t>
            </a:r>
            <a:r>
              <a:rPr lang="en-CA" sz="1400" b="0" i="0" u="none" strike="noStrike" baseline="0">
                <a:effectLst/>
              </a:rPr>
              <a:t>= VE </a:t>
            </a:r>
            <a:r>
              <a:rPr lang="en-CA"/>
              <a:t>= 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1842109077515186"/>
                  <c:y val="-0.111833157929590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'Steps 2.2-2.4'!$E$82:$E$91</c:f>
              <c:numCache>
                <c:formatCode>0.00</c:formatCode>
                <c:ptCount val="10"/>
                <c:pt idx="0">
                  <c:v>5.9556338461296798</c:v>
                </c:pt>
                <c:pt idx="1">
                  <c:v>5.4557868122435798</c:v>
                </c:pt>
                <c:pt idx="2">
                  <c:v>4.9559397838654196</c:v>
                </c:pt>
                <c:pt idx="3">
                  <c:v>4.4560927499785805</c:v>
                </c:pt>
                <c:pt idx="4">
                  <c:v>3.9562457215728699</c:v>
                </c:pt>
                <c:pt idx="5">
                  <c:v>3.4563986876653301</c:v>
                </c:pt>
                <c:pt idx="6">
                  <c:v>2.9565516591985199</c:v>
                </c:pt>
                <c:pt idx="7">
                  <c:v>2.4567046253039901</c:v>
                </c:pt>
                <c:pt idx="8">
                  <c:v>1.9568575968094111</c:v>
                </c:pt>
                <c:pt idx="9">
                  <c:v>1.4570105628943439</c:v>
                </c:pt>
              </c:numCache>
            </c:numRef>
          </c:xVal>
          <c:yVal>
            <c:numRef>
              <c:f>'Steps 2.2-2.4'!$I$82:$I$91</c:f>
              <c:numCache>
                <c:formatCode>0.00E+00</c:formatCode>
                <c:ptCount val="10"/>
                <c:pt idx="0">
                  <c:v>4.4366153870320171E-4</c:v>
                </c:pt>
                <c:pt idx="1">
                  <c:v>4.4213187756420247E-4</c:v>
                </c:pt>
                <c:pt idx="2">
                  <c:v>4.4060216134580001E-4</c:v>
                </c:pt>
                <c:pt idx="3">
                  <c:v>4.3907250021419931E-4</c:v>
                </c:pt>
                <c:pt idx="4">
                  <c:v>4.3754278427130086E-4</c:v>
                </c:pt>
                <c:pt idx="5">
                  <c:v>4.3601312334669908E-4</c:v>
                </c:pt>
                <c:pt idx="6">
                  <c:v>4.3448340801480081E-4</c:v>
                </c:pt>
                <c:pt idx="7">
                  <c:v>4.3295374696010079E-4</c:v>
                </c:pt>
                <c:pt idx="8">
                  <c:v>4.3142403190589039E-4</c:v>
                </c:pt>
                <c:pt idx="9">
                  <c:v>4.2989437105656004E-4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2-409D-80F7-D36E59BE4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</a:t>
                </a:r>
                <a:r>
                  <a:rPr lang="en-CA" baseline="0"/>
                  <a:t> (Volt)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= VE</a:t>
            </a:r>
            <a:r>
              <a:rPr lang="en-CA"/>
              <a:t> 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814969547917842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2.8'!$E$2:$E$11</c:f>
              <c:numCache>
                <c:formatCode>0.00</c:formatCode>
                <c:ptCount val="10"/>
                <c:pt idx="0">
                  <c:v>9.8474400000000006</c:v>
                </c:pt>
                <c:pt idx="1">
                  <c:v>9.3482400000000005</c:v>
                </c:pt>
                <c:pt idx="2">
                  <c:v>8.8496000000000006</c:v>
                </c:pt>
                <c:pt idx="3">
                  <c:v>8.3581199999999995</c:v>
                </c:pt>
                <c:pt idx="4">
                  <c:v>7.8594200000000001</c:v>
                </c:pt>
                <c:pt idx="5">
                  <c:v>7.3593200000000003</c:v>
                </c:pt>
                <c:pt idx="6">
                  <c:v>6.85616</c:v>
                </c:pt>
                <c:pt idx="7">
                  <c:v>6.3606400000000001</c:v>
                </c:pt>
                <c:pt idx="8">
                  <c:v>5.8623799999999999</c:v>
                </c:pt>
                <c:pt idx="9">
                  <c:v>5.3641199999999998</c:v>
                </c:pt>
              </c:numCache>
            </c:numRef>
          </c:xVal>
          <c:yVal>
            <c:numRef>
              <c:f>'Step 2.8'!$I$2:$I$11</c:f>
              <c:numCache>
                <c:formatCode>0.00E+00</c:formatCode>
                <c:ptCount val="10"/>
                <c:pt idx="0">
                  <c:v>1.5255999999999937E-3</c:v>
                </c:pt>
                <c:pt idx="1">
                  <c:v>1.5175999999999946E-3</c:v>
                </c:pt>
                <c:pt idx="2">
                  <c:v>1.5039999999999986E-3</c:v>
                </c:pt>
                <c:pt idx="3">
                  <c:v>1.4187999999999957E-3</c:v>
                </c:pt>
                <c:pt idx="4">
                  <c:v>1.4057999999999994E-3</c:v>
                </c:pt>
                <c:pt idx="5">
                  <c:v>1.4068000000000015E-3</c:v>
                </c:pt>
                <c:pt idx="6">
                  <c:v>1.4383999999999974E-3</c:v>
                </c:pt>
                <c:pt idx="7">
                  <c:v>1.3935999999999992E-3</c:v>
                </c:pt>
                <c:pt idx="8">
                  <c:v>1.3762000000000008E-3</c:v>
                </c:pt>
                <c:pt idx="9">
                  <c:v>1.3587999999999994E-3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9-4170-9C86-F5476FE8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10708939207141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2.8'!$E$12:$E$21</c:f>
              <c:numCache>
                <c:formatCode>0.00</c:formatCode>
                <c:ptCount val="10"/>
                <c:pt idx="0">
                  <c:v>9.3552</c:v>
                </c:pt>
                <c:pt idx="1">
                  <c:v>8.8562000000000012</c:v>
                </c:pt>
                <c:pt idx="2">
                  <c:v>8.3574400000000004</c:v>
                </c:pt>
                <c:pt idx="3">
                  <c:v>7.8652800000000003</c:v>
                </c:pt>
                <c:pt idx="4">
                  <c:v>7.3668199999999997</c:v>
                </c:pt>
                <c:pt idx="5">
                  <c:v>6.8681999999999999</c:v>
                </c:pt>
                <c:pt idx="6">
                  <c:v>6.3648000000000007</c:v>
                </c:pt>
                <c:pt idx="7">
                  <c:v>5.8685600000000004</c:v>
                </c:pt>
                <c:pt idx="8">
                  <c:v>5.3708</c:v>
                </c:pt>
                <c:pt idx="9">
                  <c:v>4.8734000000000002</c:v>
                </c:pt>
              </c:numCache>
            </c:numRef>
          </c:xVal>
          <c:yVal>
            <c:numRef>
              <c:f>'Step 2.8'!$I$12:$I$21</c:f>
              <c:numCache>
                <c:formatCode>0.00E+00</c:formatCode>
                <c:ptCount val="10"/>
                <c:pt idx="0">
                  <c:v>1.4480000000000005E-3</c:v>
                </c:pt>
                <c:pt idx="1">
                  <c:v>1.4379999999999881E-3</c:v>
                </c:pt>
                <c:pt idx="2">
                  <c:v>1.4256000000000047E-3</c:v>
                </c:pt>
                <c:pt idx="3">
                  <c:v>1.3472000000000017E-3</c:v>
                </c:pt>
                <c:pt idx="4">
                  <c:v>1.331800000000003E-3</c:v>
                </c:pt>
                <c:pt idx="5">
                  <c:v>1.3180000000000015E-3</c:v>
                </c:pt>
                <c:pt idx="6">
                  <c:v>1.3519999999999977E-3</c:v>
                </c:pt>
                <c:pt idx="7">
                  <c:v>1.3144000000000001E-3</c:v>
                </c:pt>
                <c:pt idx="8">
                  <c:v>1.2919999999999997E-3</c:v>
                </c:pt>
                <c:pt idx="9">
                  <c:v>1.266E-3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2-4BD7-87F0-B2FD56F27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389760196080662"/>
                  <c:y val="-0.11421885048083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Lit>
              <c:formatCode>General</c:formatCode>
              <c:ptCount val="10"/>
              <c:pt idx="0">
                <c:v>2.5</c:v>
              </c:pt>
              <c:pt idx="1">
                <c:v>2.5</c:v>
              </c:pt>
              <c:pt idx="2">
                <c:v>2.5</c:v>
              </c:pt>
              <c:pt idx="3">
                <c:v>2.5</c:v>
              </c:pt>
              <c:pt idx="4">
                <c:v>2.5</c:v>
              </c:pt>
              <c:pt idx="5">
                <c:v>2.5</c:v>
              </c:pt>
              <c:pt idx="6">
                <c:v>2.5</c:v>
              </c:pt>
              <c:pt idx="7">
                <c:v>2.5</c:v>
              </c:pt>
              <c:pt idx="8">
                <c:v>2.5</c:v>
              </c:pt>
              <c:pt idx="9">
                <c:v>2.5</c:v>
              </c:pt>
            </c:numLit>
          </c:xVal>
          <c:yVal>
            <c:numLit>
              <c:formatCode>General</c:formatCode>
              <c:ptCount val="10"/>
              <c:pt idx="0">
                <c:v>0.05</c:v>
              </c:pt>
              <c:pt idx="1">
                <c:v>4.4999999999999998E-2</c:v>
              </c:pt>
              <c:pt idx="2">
                <c:v>0.04</c:v>
              </c:pt>
              <c:pt idx="3">
                <c:v>3.5000000000000003E-2</c:v>
              </c:pt>
              <c:pt idx="4">
                <c:v>0.03</c:v>
              </c:pt>
              <c:pt idx="5">
                <c:v>2.5000000000000001E-2</c:v>
              </c:pt>
              <c:pt idx="6">
                <c:v>0.02</c:v>
              </c:pt>
              <c:pt idx="7">
                <c:v>1.4999999999999999E-2</c:v>
              </c:pt>
              <c:pt idx="8">
                <c:v>0.01</c:v>
              </c:pt>
              <c:pt idx="9">
                <c:v>5.0000000000000001E-3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2A8-4137-8C8A-F18C1C96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892062877545585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2.8'!$E$22:$E$31</c:f>
              <c:numCache>
                <c:formatCode>0.00</c:formatCode>
                <c:ptCount val="10"/>
                <c:pt idx="0">
                  <c:v>8.8727200000000011</c:v>
                </c:pt>
                <c:pt idx="1">
                  <c:v>8.3748000000000005</c:v>
                </c:pt>
                <c:pt idx="2">
                  <c:v>7.87554</c:v>
                </c:pt>
                <c:pt idx="3">
                  <c:v>7.3822799999999997</c:v>
                </c:pt>
                <c:pt idx="4">
                  <c:v>6.8844200000000004</c:v>
                </c:pt>
                <c:pt idx="5">
                  <c:v>6.3858800000000002</c:v>
                </c:pt>
                <c:pt idx="6">
                  <c:v>5.8838800000000004</c:v>
                </c:pt>
                <c:pt idx="7">
                  <c:v>5.3845799999999997</c:v>
                </c:pt>
                <c:pt idx="8">
                  <c:v>4.8887200000000002</c:v>
                </c:pt>
                <c:pt idx="9">
                  <c:v>4.3894000000000002</c:v>
                </c:pt>
              </c:numCache>
            </c:numRef>
          </c:xVal>
          <c:yVal>
            <c:numRef>
              <c:f>'Step 2.8'!$I$22:$I$31</c:f>
              <c:numCache>
                <c:formatCode>0.00E+00</c:formatCode>
                <c:ptCount val="10"/>
                <c:pt idx="0">
                  <c:v>1.2727999999999984E-3</c:v>
                </c:pt>
                <c:pt idx="1">
                  <c:v>1.2519999999999953E-3</c:v>
                </c:pt>
                <c:pt idx="2">
                  <c:v>1.2446000000000002E-3</c:v>
                </c:pt>
                <c:pt idx="3">
                  <c:v>1.1771999999999983E-3</c:v>
                </c:pt>
                <c:pt idx="4">
                  <c:v>1.1557999999999957E-3</c:v>
                </c:pt>
                <c:pt idx="5">
                  <c:v>1.1411999999999978E-3</c:v>
                </c:pt>
                <c:pt idx="6">
                  <c:v>1.1611999999999979E-3</c:v>
                </c:pt>
                <c:pt idx="7">
                  <c:v>1.1541999999999985E-3</c:v>
                </c:pt>
                <c:pt idx="8">
                  <c:v>1.1128000000000004E-3</c:v>
                </c:pt>
                <c:pt idx="9">
                  <c:v>1.1059999999999998E-3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11-4109-8521-675510099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baseline="0"/>
              <a:t> = VE</a:t>
            </a:r>
            <a:r>
              <a:rPr lang="en-CA"/>
              <a:t> = 5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814969547917842"/>
                  <c:y val="-0.12212654981851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2.8'!$E$2:$E$11</c:f>
              <c:numCache>
                <c:formatCode>0.00</c:formatCode>
                <c:ptCount val="10"/>
                <c:pt idx="0">
                  <c:v>9.8474400000000006</c:v>
                </c:pt>
                <c:pt idx="1">
                  <c:v>9.3482400000000005</c:v>
                </c:pt>
                <c:pt idx="2">
                  <c:v>8.8496000000000006</c:v>
                </c:pt>
                <c:pt idx="3">
                  <c:v>8.3581199999999995</c:v>
                </c:pt>
                <c:pt idx="4">
                  <c:v>7.8594200000000001</c:v>
                </c:pt>
                <c:pt idx="5">
                  <c:v>7.3593200000000003</c:v>
                </c:pt>
                <c:pt idx="6">
                  <c:v>6.85616</c:v>
                </c:pt>
                <c:pt idx="7">
                  <c:v>6.3606400000000001</c:v>
                </c:pt>
                <c:pt idx="8">
                  <c:v>5.8623799999999999</c:v>
                </c:pt>
                <c:pt idx="9">
                  <c:v>5.3641199999999998</c:v>
                </c:pt>
              </c:numCache>
            </c:numRef>
          </c:xVal>
          <c:yVal>
            <c:numRef>
              <c:f>'Step 2.8'!$I$2:$I$11</c:f>
              <c:numCache>
                <c:formatCode>0.00E+00</c:formatCode>
                <c:ptCount val="10"/>
                <c:pt idx="0">
                  <c:v>1.5255999999999937E-3</c:v>
                </c:pt>
                <c:pt idx="1">
                  <c:v>1.5175999999999946E-3</c:v>
                </c:pt>
                <c:pt idx="2">
                  <c:v>1.5039999999999986E-3</c:v>
                </c:pt>
                <c:pt idx="3">
                  <c:v>1.4187999999999957E-3</c:v>
                </c:pt>
                <c:pt idx="4">
                  <c:v>1.4057999999999994E-3</c:v>
                </c:pt>
                <c:pt idx="5">
                  <c:v>1.4068000000000015E-3</c:v>
                </c:pt>
                <c:pt idx="6">
                  <c:v>1.4383999999999974E-3</c:v>
                </c:pt>
                <c:pt idx="7">
                  <c:v>1.3935999999999992E-3</c:v>
                </c:pt>
                <c:pt idx="8">
                  <c:v>1.3762000000000008E-3</c:v>
                </c:pt>
                <c:pt idx="9">
                  <c:v>1.3587999999999994E-3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A-48EB-BAB4-9C841D4CA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8223"/>
        <c:axId val="1778969055"/>
      </c:scatterChart>
      <c:valAx>
        <c:axId val="177896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9055"/>
        <c:crosses val="autoZero"/>
        <c:crossBetween val="midCat"/>
      </c:valAx>
      <c:valAx>
        <c:axId val="17789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 baseline="0"/>
              <a:t> = 4.5V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516079295464239"/>
                  <c:y val="-0.11364918055277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2.8'!$E$12:$E$21</c:f>
              <c:numCache>
                <c:formatCode>0.00</c:formatCode>
                <c:ptCount val="10"/>
                <c:pt idx="0">
                  <c:v>9.3552</c:v>
                </c:pt>
                <c:pt idx="1">
                  <c:v>8.8562000000000012</c:v>
                </c:pt>
                <c:pt idx="2">
                  <c:v>8.3574400000000004</c:v>
                </c:pt>
                <c:pt idx="3">
                  <c:v>7.8652800000000003</c:v>
                </c:pt>
                <c:pt idx="4">
                  <c:v>7.3668199999999997</c:v>
                </c:pt>
                <c:pt idx="5">
                  <c:v>6.8681999999999999</c:v>
                </c:pt>
                <c:pt idx="6">
                  <c:v>6.3648000000000007</c:v>
                </c:pt>
                <c:pt idx="7">
                  <c:v>5.8685600000000004</c:v>
                </c:pt>
                <c:pt idx="8">
                  <c:v>5.3708</c:v>
                </c:pt>
                <c:pt idx="9">
                  <c:v>4.8734000000000002</c:v>
                </c:pt>
              </c:numCache>
            </c:numRef>
          </c:xVal>
          <c:yVal>
            <c:numRef>
              <c:f>'Step 2.8'!$I$12:$I$21</c:f>
              <c:numCache>
                <c:formatCode>0.00E+00</c:formatCode>
                <c:ptCount val="10"/>
                <c:pt idx="0">
                  <c:v>1.4480000000000005E-3</c:v>
                </c:pt>
                <c:pt idx="1">
                  <c:v>1.4379999999999881E-3</c:v>
                </c:pt>
                <c:pt idx="2">
                  <c:v>1.4256000000000047E-3</c:v>
                </c:pt>
                <c:pt idx="3">
                  <c:v>1.3472000000000017E-3</c:v>
                </c:pt>
                <c:pt idx="4">
                  <c:v>1.331800000000003E-3</c:v>
                </c:pt>
                <c:pt idx="5">
                  <c:v>1.3180000000000015E-3</c:v>
                </c:pt>
                <c:pt idx="6">
                  <c:v>1.3519999999999977E-3</c:v>
                </c:pt>
                <c:pt idx="7">
                  <c:v>1.3144000000000001E-3</c:v>
                </c:pt>
                <c:pt idx="8">
                  <c:v>1.2919999999999997E-3</c:v>
                </c:pt>
                <c:pt idx="9">
                  <c:v>1.266E-3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B-4095-B5B6-1F041CA31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2719"/>
        <c:axId val="1283846895"/>
      </c:scatterChart>
      <c:valAx>
        <c:axId val="128385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895"/>
        <c:crosses val="autoZero"/>
        <c:crossBetween val="midCat"/>
      </c:valAx>
      <c:valAx>
        <c:axId val="1283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2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V+</a:t>
            </a:r>
            <a:r>
              <a:rPr lang="en-CA" sz="1400" b="0" i="0" u="none" strike="noStrike" baseline="0">
                <a:effectLst/>
              </a:rPr>
              <a:t> = VE </a:t>
            </a:r>
            <a:r>
              <a:rPr lang="en-CA"/>
              <a:t>= 4V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322999754445437"/>
                  <c:y val="-0.134945388327049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2.8'!$E$22:$E$31</c:f>
              <c:numCache>
                <c:formatCode>0.00</c:formatCode>
                <c:ptCount val="10"/>
                <c:pt idx="0">
                  <c:v>8.8727200000000011</c:v>
                </c:pt>
                <c:pt idx="1">
                  <c:v>8.3748000000000005</c:v>
                </c:pt>
                <c:pt idx="2">
                  <c:v>7.87554</c:v>
                </c:pt>
                <c:pt idx="3">
                  <c:v>7.3822799999999997</c:v>
                </c:pt>
                <c:pt idx="4">
                  <c:v>6.8844200000000004</c:v>
                </c:pt>
                <c:pt idx="5">
                  <c:v>6.3858800000000002</c:v>
                </c:pt>
                <c:pt idx="6">
                  <c:v>5.8838800000000004</c:v>
                </c:pt>
                <c:pt idx="7">
                  <c:v>5.3845799999999997</c:v>
                </c:pt>
                <c:pt idx="8">
                  <c:v>4.8887200000000002</c:v>
                </c:pt>
                <c:pt idx="9">
                  <c:v>4.3894000000000002</c:v>
                </c:pt>
              </c:numCache>
            </c:numRef>
          </c:xVal>
          <c:yVal>
            <c:numRef>
              <c:f>'Step 2.8'!$I$22:$I$31</c:f>
              <c:numCache>
                <c:formatCode>0.00E+00</c:formatCode>
                <c:ptCount val="10"/>
                <c:pt idx="0">
                  <c:v>1.2727999999999984E-3</c:v>
                </c:pt>
                <c:pt idx="1">
                  <c:v>1.2519999999999953E-3</c:v>
                </c:pt>
                <c:pt idx="2">
                  <c:v>1.2446000000000002E-3</c:v>
                </c:pt>
                <c:pt idx="3">
                  <c:v>1.1771999999999983E-3</c:v>
                </c:pt>
                <c:pt idx="4">
                  <c:v>1.1557999999999957E-3</c:v>
                </c:pt>
                <c:pt idx="5">
                  <c:v>1.1411999999999978E-3</c:v>
                </c:pt>
                <c:pt idx="6">
                  <c:v>1.1611999999999979E-3</c:v>
                </c:pt>
                <c:pt idx="7">
                  <c:v>1.1541999999999985E-3</c:v>
                </c:pt>
                <c:pt idx="8">
                  <c:v>1.1128000000000004E-3</c:v>
                </c:pt>
                <c:pt idx="9">
                  <c:v>1.1059999999999998E-3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C-4076-9C7B-D7511D611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46063"/>
        <c:axId val="1283856047"/>
      </c:scatterChart>
      <c:valAx>
        <c:axId val="128384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047"/>
        <c:crosses val="autoZero"/>
        <c:crossBetween val="midCat"/>
      </c:valAx>
      <c:valAx>
        <c:axId val="12838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107089392071411"/>
                  <c:y val="-0.128877602876480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2.8'!$E$32:$E$41</c:f>
              <c:numCache>
                <c:formatCode>0.00</c:formatCode>
                <c:ptCount val="10"/>
                <c:pt idx="0">
                  <c:v>8.3794599999999999</c:v>
                </c:pt>
                <c:pt idx="1">
                  <c:v>7.8812799999999994</c:v>
                </c:pt>
                <c:pt idx="2">
                  <c:v>7.3831600000000002</c:v>
                </c:pt>
                <c:pt idx="3">
                  <c:v>6.8893000000000004</c:v>
                </c:pt>
                <c:pt idx="4">
                  <c:v>6.3919200000000007</c:v>
                </c:pt>
                <c:pt idx="5">
                  <c:v>5.8925999999999998</c:v>
                </c:pt>
                <c:pt idx="6">
                  <c:v>5.3920200000000005</c:v>
                </c:pt>
                <c:pt idx="7">
                  <c:v>4.89018</c:v>
                </c:pt>
                <c:pt idx="8">
                  <c:v>4.3944600000000005</c:v>
                </c:pt>
                <c:pt idx="9">
                  <c:v>3.89486</c:v>
                </c:pt>
              </c:numCache>
            </c:numRef>
          </c:xVal>
          <c:yVal>
            <c:numRef>
              <c:f>'Step 2.8'!$I$32:$I$41</c:f>
              <c:numCache>
                <c:formatCode>0.00E+00</c:formatCode>
                <c:ptCount val="10"/>
                <c:pt idx="0">
                  <c:v>1.205400000000001E-3</c:v>
                </c:pt>
                <c:pt idx="1">
                  <c:v>1.1872000000000061E-3</c:v>
                </c:pt>
                <c:pt idx="2">
                  <c:v>1.1683999999999983E-3</c:v>
                </c:pt>
                <c:pt idx="3">
                  <c:v>1.1070000000000001E-3</c:v>
                </c:pt>
                <c:pt idx="4">
                  <c:v>1.0807999999999972E-3</c:v>
                </c:pt>
                <c:pt idx="5">
                  <c:v>1.0740000000000016E-3</c:v>
                </c:pt>
                <c:pt idx="6">
                  <c:v>1.0797999999999997E-3</c:v>
                </c:pt>
                <c:pt idx="7">
                  <c:v>1.098199999999998E-3</c:v>
                </c:pt>
                <c:pt idx="8">
                  <c:v>1.0553999999999987E-3</c:v>
                </c:pt>
                <c:pt idx="9">
                  <c:v>1.0514000000000001E-3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70-460C-8BDE-8F2C68B30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135"/>
        <c:axId val="1283855631"/>
      </c:scatterChart>
      <c:valAx>
        <c:axId val="128385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5631"/>
        <c:crosses val="autoZero"/>
        <c:crossBetween val="midCat"/>
      </c:valAx>
      <c:valAx>
        <c:axId val="1283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3V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576964652256821"/>
                  <c:y val="-0.167976853425728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2.8'!$E$42:$E$51</c:f>
              <c:numCache>
                <c:formatCode>0.00</c:formatCode>
                <c:ptCount val="10"/>
                <c:pt idx="0">
                  <c:v>7.8853999999999997</c:v>
                </c:pt>
                <c:pt idx="1">
                  <c:v>7.3868200000000002</c:v>
                </c:pt>
                <c:pt idx="2">
                  <c:v>6.88802</c:v>
                </c:pt>
                <c:pt idx="3">
                  <c:v>6.3963000000000001</c:v>
                </c:pt>
                <c:pt idx="4">
                  <c:v>5.8987400000000001</c:v>
                </c:pt>
                <c:pt idx="5">
                  <c:v>5.3997799999999998</c:v>
                </c:pt>
                <c:pt idx="6">
                  <c:v>4.8990799999999997</c:v>
                </c:pt>
                <c:pt idx="7">
                  <c:v>4.3967400000000003</c:v>
                </c:pt>
                <c:pt idx="8">
                  <c:v>3.8999800000000002</c:v>
                </c:pt>
                <c:pt idx="9">
                  <c:v>3.40178</c:v>
                </c:pt>
              </c:numCache>
            </c:numRef>
          </c:xVal>
          <c:yVal>
            <c:numRef>
              <c:f>'Step 2.8'!$I$42:$I$51</c:f>
              <c:numCache>
                <c:formatCode>0.00E+00</c:formatCode>
                <c:ptCount val="10"/>
                <c:pt idx="0">
                  <c:v>1.1460000000000025E-3</c:v>
                </c:pt>
                <c:pt idx="1">
                  <c:v>1.1317999999999983E-3</c:v>
                </c:pt>
                <c:pt idx="2">
                  <c:v>1.1197999999999998E-3</c:v>
                </c:pt>
                <c:pt idx="3">
                  <c:v>1.0369999999999991E-3</c:v>
                </c:pt>
                <c:pt idx="4">
                  <c:v>1.0126000000000035E-3</c:v>
                </c:pt>
                <c:pt idx="5">
                  <c:v>1.0021999999999976E-3</c:v>
                </c:pt>
                <c:pt idx="6">
                  <c:v>1.0091999999999989E-3</c:v>
                </c:pt>
                <c:pt idx="7">
                  <c:v>1.032599999999999E-3</c:v>
                </c:pt>
                <c:pt idx="8">
                  <c:v>1.0001999999999999E-3</c:v>
                </c:pt>
                <c:pt idx="9">
                  <c:v>9.821999999999997E-4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4-48D6-A6F0-FCC178FB6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53663"/>
        <c:axId val="1778956991"/>
      </c:scatterChart>
      <c:valAx>
        <c:axId val="17789536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6991"/>
        <c:crosses val="autoZero"/>
        <c:crossBetween val="midCat"/>
      </c:valAx>
      <c:valAx>
        <c:axId val="17789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389760196080662"/>
                  <c:y val="-0.11421885048083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2.8'!$E$52:$E$61</c:f>
              <c:numCache>
                <c:formatCode>0.00</c:formatCode>
                <c:ptCount val="10"/>
                <c:pt idx="0">
                  <c:v>7.3949800000000003</c:v>
                </c:pt>
                <c:pt idx="1">
                  <c:v>6.8949400000000001</c:v>
                </c:pt>
                <c:pt idx="2">
                  <c:v>6.3965399999999999</c:v>
                </c:pt>
                <c:pt idx="3">
                  <c:v>5.9019600000000008</c:v>
                </c:pt>
                <c:pt idx="4">
                  <c:v>5.4053200000000006</c:v>
                </c:pt>
                <c:pt idx="5">
                  <c:v>4.9067400000000001</c:v>
                </c:pt>
                <c:pt idx="6">
                  <c:v>4.4060000000000006</c:v>
                </c:pt>
                <c:pt idx="7">
                  <c:v>3.90706</c:v>
                </c:pt>
                <c:pt idx="8">
                  <c:v>3.4073199999999999</c:v>
                </c:pt>
                <c:pt idx="9">
                  <c:v>2.9079199999999998</c:v>
                </c:pt>
              </c:numCache>
            </c:numRef>
          </c:xVal>
          <c:yVal>
            <c:numRef>
              <c:f>'Step 2.8'!$I$52:$I$61</c:f>
              <c:numCache>
                <c:formatCode>0.00E+00</c:formatCode>
                <c:ptCount val="10"/>
                <c:pt idx="0">
                  <c:v>1.0501999999999968E-3</c:v>
                </c:pt>
                <c:pt idx="1">
                  <c:v>1.0505999999999994E-3</c:v>
                </c:pt>
                <c:pt idx="2">
                  <c:v>1.0345999999999966E-3</c:v>
                </c:pt>
                <c:pt idx="3">
                  <c:v>9.8039999999999673E-4</c:v>
                </c:pt>
                <c:pt idx="4">
                  <c:v>9.4679999999999428E-4</c:v>
                </c:pt>
                <c:pt idx="5">
                  <c:v>9.3259999999999903E-4</c:v>
                </c:pt>
                <c:pt idx="6">
                  <c:v>9.3999999999999856E-4</c:v>
                </c:pt>
                <c:pt idx="7">
                  <c:v>9.2940000000000026E-4</c:v>
                </c:pt>
                <c:pt idx="8">
                  <c:v>9.2679999999999987E-4</c:v>
                </c:pt>
                <c:pt idx="9">
                  <c:v>9.2079999999999994E-4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C-43B1-B9A5-1E1C9248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964063"/>
        <c:axId val="1778954495"/>
      </c:scatterChart>
      <c:valAx>
        <c:axId val="17789640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54495"/>
        <c:crosses val="autoZero"/>
        <c:crossBetween val="midCat"/>
      </c:valAx>
      <c:valAx>
        <c:axId val="177895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2V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3892062877545585"/>
                  <c:y val="-0.1227480588118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2.8'!$E$62:$E$71</c:f>
              <c:numCache>
                <c:formatCode>0.00</c:formatCode>
                <c:ptCount val="10"/>
                <c:pt idx="0">
                  <c:v>6.9013599999999995</c:v>
                </c:pt>
                <c:pt idx="1">
                  <c:v>6.4011800000000001</c:v>
                </c:pt>
                <c:pt idx="2">
                  <c:v>5.9025599999999994</c:v>
                </c:pt>
                <c:pt idx="3">
                  <c:v>5.4088599999999998</c:v>
                </c:pt>
                <c:pt idx="4">
                  <c:v>4.9103000000000003</c:v>
                </c:pt>
                <c:pt idx="5">
                  <c:v>4.4125800000000002</c:v>
                </c:pt>
                <c:pt idx="6">
                  <c:v>3.9140400000000004</c:v>
                </c:pt>
                <c:pt idx="7">
                  <c:v>3.4149599999999998</c:v>
                </c:pt>
                <c:pt idx="8">
                  <c:v>2.9131800000000001</c:v>
                </c:pt>
                <c:pt idx="9">
                  <c:v>2.4140800000000002</c:v>
                </c:pt>
              </c:numCache>
            </c:numRef>
          </c:xVal>
          <c:yVal>
            <c:numRef>
              <c:f>'Step 2.8'!$I$62:$I$71</c:f>
              <c:numCache>
                <c:formatCode>0.00E+00</c:formatCode>
                <c:ptCount val="10"/>
                <c:pt idx="0">
                  <c:v>9.8640000000000511E-4</c:v>
                </c:pt>
                <c:pt idx="1">
                  <c:v>9.8819999999999898E-4</c:v>
                </c:pt>
                <c:pt idx="2">
                  <c:v>9.7440000000000189E-4</c:v>
                </c:pt>
                <c:pt idx="3">
                  <c:v>9.114000000000022E-4</c:v>
                </c:pt>
                <c:pt idx="4">
                  <c:v>8.9699999999999665E-4</c:v>
                </c:pt>
                <c:pt idx="5">
                  <c:v>8.7420000000000271E-4</c:v>
                </c:pt>
                <c:pt idx="6">
                  <c:v>8.5959999999999596E-4</c:v>
                </c:pt>
                <c:pt idx="7">
                  <c:v>8.5040000000000007E-4</c:v>
                </c:pt>
                <c:pt idx="8">
                  <c:v>8.6820000000000007E-4</c:v>
                </c:pt>
                <c:pt idx="9">
                  <c:v>8.5919999999999942E-4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2-4D30-A385-1F2FE484D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004511"/>
        <c:axId val="1777005343"/>
      </c:scatterChart>
      <c:valAx>
        <c:axId val="177700451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5343"/>
        <c:crosses val="autoZero"/>
        <c:crossBetween val="midCat"/>
      </c:valAx>
      <c:valAx>
        <c:axId val="17770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0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1.5V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6209824373455449"/>
                  <c:y val="-0.11479426015476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2.8'!$E$72:$E$81</c:f>
              <c:numCache>
                <c:formatCode>0.00</c:formatCode>
                <c:ptCount val="10"/>
                <c:pt idx="0">
                  <c:v>6.4101999999999997</c:v>
                </c:pt>
                <c:pt idx="1">
                  <c:v>5.9112400000000003</c:v>
                </c:pt>
                <c:pt idx="2">
                  <c:v>5.4116600000000004</c:v>
                </c:pt>
                <c:pt idx="3">
                  <c:v>4.9192599999999995</c:v>
                </c:pt>
                <c:pt idx="4">
                  <c:v>4.4189400000000001</c:v>
                </c:pt>
                <c:pt idx="5">
                  <c:v>3.9218000000000002</c:v>
                </c:pt>
                <c:pt idx="6">
                  <c:v>3.4209800000000001</c:v>
                </c:pt>
                <c:pt idx="7">
                  <c:v>2.9268400000000003</c:v>
                </c:pt>
                <c:pt idx="8">
                  <c:v>2.4220000000000002</c:v>
                </c:pt>
                <c:pt idx="9">
                  <c:v>1.923</c:v>
                </c:pt>
              </c:numCache>
            </c:numRef>
          </c:xVal>
          <c:yVal>
            <c:numRef>
              <c:f>'Step 2.8'!$I$72:$I$81</c:f>
              <c:numCache>
                <c:formatCode>0.00E+00</c:formatCode>
                <c:ptCount val="10"/>
                <c:pt idx="0">
                  <c:v>8.9800000000000329E-4</c:v>
                </c:pt>
                <c:pt idx="1">
                  <c:v>8.8759999999999729E-4</c:v>
                </c:pt>
                <c:pt idx="2">
                  <c:v>8.8339999999999643E-4</c:v>
                </c:pt>
                <c:pt idx="3">
                  <c:v>8.0740000000000033E-4</c:v>
                </c:pt>
                <c:pt idx="4">
                  <c:v>8.105999999999991E-4</c:v>
                </c:pt>
                <c:pt idx="5">
                  <c:v>7.819999999999983E-4</c:v>
                </c:pt>
                <c:pt idx="6">
                  <c:v>7.9019999999999872E-4</c:v>
                </c:pt>
                <c:pt idx="7">
                  <c:v>7.3159999999999892E-4</c:v>
                </c:pt>
                <c:pt idx="8">
                  <c:v>7.7999999999999955E-4</c:v>
                </c:pt>
                <c:pt idx="9">
                  <c:v>7.6999999999999953E-4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B-4C8C-932F-A06D1CC0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6463"/>
        <c:axId val="1283841903"/>
      </c:scatterChart>
      <c:valAx>
        <c:axId val="1283856463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1903"/>
        <c:crosses val="autoZero"/>
        <c:crossBetween val="midCat"/>
      </c:valAx>
      <c:valAx>
        <c:axId val="12838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</a:t>
            </a:r>
            <a:r>
              <a:rPr lang="en-CA" sz="1400" b="0" i="0" u="none" strike="noStrike" baseline="0">
                <a:effectLst/>
              </a:rPr>
              <a:t>+ = VE</a:t>
            </a:r>
            <a:r>
              <a:rPr lang="en-CA"/>
              <a:t> = 1V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181197439010454"/>
                  <c:y val="-0.114794260154767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 2.8'!$E$82:$E$91</c:f>
              <c:numCache>
                <c:formatCode>0.00</c:formatCode>
                <c:ptCount val="10"/>
                <c:pt idx="0">
                  <c:v>5.9155600000000002</c:v>
                </c:pt>
                <c:pt idx="1">
                  <c:v>5.4169400000000012</c:v>
                </c:pt>
                <c:pt idx="2">
                  <c:v>4.9165400000000004</c:v>
                </c:pt>
                <c:pt idx="3">
                  <c:v>4.4252000000000002</c:v>
                </c:pt>
                <c:pt idx="4">
                  <c:v>3.9244400000000002</c:v>
                </c:pt>
                <c:pt idx="5">
                  <c:v>3.4267400000000001</c:v>
                </c:pt>
                <c:pt idx="6">
                  <c:v>2.9260200000000003</c:v>
                </c:pt>
                <c:pt idx="7">
                  <c:v>2.4316199999999997</c:v>
                </c:pt>
                <c:pt idx="8">
                  <c:v>1.92754</c:v>
                </c:pt>
                <c:pt idx="9">
                  <c:v>1.4277599999999999</c:v>
                </c:pt>
              </c:numCache>
            </c:numRef>
          </c:xVal>
          <c:yVal>
            <c:numRef>
              <c:f>'Step 2.8'!$I$82:$I$91</c:f>
              <c:numCache>
                <c:formatCode>0.00E+00</c:formatCode>
                <c:ptCount val="10"/>
                <c:pt idx="0">
                  <c:v>8.4439999999999852E-4</c:v>
                </c:pt>
                <c:pt idx="1">
                  <c:v>8.3059999999998799E-4</c:v>
                </c:pt>
                <c:pt idx="2">
                  <c:v>8.3459999999999643E-4</c:v>
                </c:pt>
                <c:pt idx="3">
                  <c:v>7.4799999999999758E-4</c:v>
                </c:pt>
                <c:pt idx="4">
                  <c:v>7.5559999999999853E-4</c:v>
                </c:pt>
                <c:pt idx="5">
                  <c:v>7.3259999999999883E-4</c:v>
                </c:pt>
                <c:pt idx="6">
                  <c:v>7.3979999999999933E-4</c:v>
                </c:pt>
                <c:pt idx="7">
                  <c:v>6.8380000000000112E-4</c:v>
                </c:pt>
                <c:pt idx="8">
                  <c:v>7.2459999999999853E-4</c:v>
                </c:pt>
                <c:pt idx="9">
                  <c:v>7.2240000000000021E-4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0-4590-852B-6C14AC645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53551"/>
        <c:axId val="1283843151"/>
      </c:scatterChart>
      <c:valAx>
        <c:axId val="1283853551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VEC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43151"/>
        <c:crosses val="autoZero"/>
        <c:crossBetween val="midCat"/>
      </c:valAx>
      <c:valAx>
        <c:axId val="12838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IC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85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</xdr:row>
      <xdr:rowOff>9525</xdr:rowOff>
    </xdr:from>
    <xdr:to>
      <xdr:col>22</xdr:col>
      <xdr:colOff>100013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109538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19050</xdr:rowOff>
    </xdr:from>
    <xdr:to>
      <xdr:col>22</xdr:col>
      <xdr:colOff>128588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61913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22</xdr:col>
      <xdr:colOff>80963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31</xdr:row>
      <xdr:rowOff>9525</xdr:rowOff>
    </xdr:from>
    <xdr:to>
      <xdr:col>22</xdr:col>
      <xdr:colOff>100013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22</xdr:col>
      <xdr:colOff>109538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51</xdr:row>
      <xdr:rowOff>9525</xdr:rowOff>
    </xdr:from>
    <xdr:to>
      <xdr:col>22</xdr:col>
      <xdr:colOff>109538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61</xdr:row>
      <xdr:rowOff>19050</xdr:rowOff>
    </xdr:from>
    <xdr:to>
      <xdr:col>22</xdr:col>
      <xdr:colOff>128588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22</xdr:col>
      <xdr:colOff>138113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9525</xdr:colOff>
      <xdr:row>81</xdr:row>
      <xdr:rowOff>0</xdr:rowOff>
    </xdr:from>
    <xdr:to>
      <xdr:col>22</xdr:col>
      <xdr:colOff>157163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0.71359</cdr:x>
      <cdr:y>0.69493</cdr:y>
    </cdr:from>
    <cdr:to>
      <cdr:x>0.92812</cdr:x>
      <cdr:y>0.8246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41650" y="132715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0.71869</cdr:x>
      <cdr:y>0.71201</cdr:y>
    </cdr:from>
    <cdr:to>
      <cdr:x>0.93274</cdr:x>
      <cdr:y>0.84299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0225" y="134620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11</xdr:row>
      <xdr:rowOff>9525</xdr:rowOff>
    </xdr:from>
    <xdr:to>
      <xdr:col>22</xdr:col>
      <xdr:colOff>119063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21</xdr:row>
      <xdr:rowOff>0</xdr:rowOff>
    </xdr:from>
    <xdr:to>
      <xdr:col>22</xdr:col>
      <xdr:colOff>128588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21</xdr:row>
      <xdr:rowOff>19050</xdr:rowOff>
    </xdr:from>
    <xdr:to>
      <xdr:col>22</xdr:col>
      <xdr:colOff>147638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11</xdr:row>
      <xdr:rowOff>0</xdr:rowOff>
    </xdr:from>
    <xdr:to>
      <xdr:col>22</xdr:col>
      <xdr:colOff>80963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22</xdr:col>
      <xdr:colOff>100013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19050</xdr:colOff>
      <xdr:row>31</xdr:row>
      <xdr:rowOff>9525</xdr:rowOff>
    </xdr:from>
    <xdr:to>
      <xdr:col>22</xdr:col>
      <xdr:colOff>119063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19050</xdr:colOff>
      <xdr:row>41</xdr:row>
      <xdr:rowOff>0</xdr:rowOff>
    </xdr:from>
    <xdr:to>
      <xdr:col>22</xdr:col>
      <xdr:colOff>128588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19050</xdr:colOff>
      <xdr:row>51</xdr:row>
      <xdr:rowOff>9525</xdr:rowOff>
    </xdr:from>
    <xdr:to>
      <xdr:col>22</xdr:col>
      <xdr:colOff>128588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</xdr:colOff>
      <xdr:row>61</xdr:row>
      <xdr:rowOff>19050</xdr:rowOff>
    </xdr:from>
    <xdr:to>
      <xdr:col>22</xdr:col>
      <xdr:colOff>147638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19050</xdr:colOff>
      <xdr:row>71</xdr:row>
      <xdr:rowOff>0</xdr:rowOff>
    </xdr:from>
    <xdr:to>
      <xdr:col>22</xdr:col>
      <xdr:colOff>157163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28575</xdr:colOff>
      <xdr:row>81</xdr:row>
      <xdr:rowOff>0</xdr:rowOff>
    </xdr:from>
    <xdr:to>
      <xdr:col>22</xdr:col>
      <xdr:colOff>176213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0.71268</cdr:x>
      <cdr:y>0.70633</cdr:y>
    </cdr:from>
    <cdr:to>
      <cdr:x>0.92817</cdr:x>
      <cdr:y>0.83797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4188" y="1328738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0.71359</cdr:x>
      <cdr:y>0.69493</cdr:y>
    </cdr:from>
    <cdr:to>
      <cdr:x>0.92812</cdr:x>
      <cdr:y>0.8246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41650" y="132715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0.71869</cdr:x>
      <cdr:y>0.71201</cdr:y>
    </cdr:from>
    <cdr:to>
      <cdr:x>0.93274</cdr:x>
      <cdr:y>0.84299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70225" y="1346200"/>
          <a:ext cx="9144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</xdr:row>
      <xdr:rowOff>9525</xdr:rowOff>
    </xdr:from>
    <xdr:to>
      <xdr:col>22</xdr:col>
      <xdr:colOff>100013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109538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21</xdr:row>
      <xdr:rowOff>19050</xdr:rowOff>
    </xdr:from>
    <xdr:to>
      <xdr:col>22</xdr:col>
      <xdr:colOff>128588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42863</xdr:colOff>
      <xdr:row>10</xdr:row>
      <xdr:rowOff>166688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61913</xdr:colOff>
      <xdr:row>21</xdr:row>
      <xdr:rowOff>4763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22</xdr:col>
      <xdr:colOff>80963</xdr:colOff>
      <xdr:row>30</xdr:row>
      <xdr:rowOff>185738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31</xdr:row>
      <xdr:rowOff>9525</xdr:rowOff>
    </xdr:from>
    <xdr:to>
      <xdr:col>22</xdr:col>
      <xdr:colOff>100013</xdr:colOff>
      <xdr:row>40</xdr:row>
      <xdr:rowOff>176213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41</xdr:row>
      <xdr:rowOff>0</xdr:rowOff>
    </xdr:from>
    <xdr:to>
      <xdr:col>22</xdr:col>
      <xdr:colOff>109538</xdr:colOff>
      <xdr:row>50</xdr:row>
      <xdr:rowOff>185738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0</xdr:colOff>
      <xdr:row>51</xdr:row>
      <xdr:rowOff>9525</xdr:rowOff>
    </xdr:from>
    <xdr:to>
      <xdr:col>22</xdr:col>
      <xdr:colOff>109538</xdr:colOff>
      <xdr:row>61</xdr:row>
      <xdr:rowOff>4763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61</xdr:row>
      <xdr:rowOff>19050</xdr:rowOff>
    </xdr:from>
    <xdr:to>
      <xdr:col>22</xdr:col>
      <xdr:colOff>128588</xdr:colOff>
      <xdr:row>70</xdr:row>
      <xdr:rowOff>176213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71</xdr:row>
      <xdr:rowOff>0</xdr:rowOff>
    </xdr:from>
    <xdr:to>
      <xdr:col>22</xdr:col>
      <xdr:colOff>138113</xdr:colOff>
      <xdr:row>80</xdr:row>
      <xdr:rowOff>176213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9525</xdr:colOff>
      <xdr:row>81</xdr:row>
      <xdr:rowOff>0</xdr:rowOff>
    </xdr:from>
    <xdr:to>
      <xdr:col>22</xdr:col>
      <xdr:colOff>157163</xdr:colOff>
      <xdr:row>90</xdr:row>
      <xdr:rowOff>176213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0.01192</cdr:x>
      <cdr:y>0.0266</cdr:y>
    </cdr:from>
    <cdr:to>
      <cdr:x>0.22645</cdr:x>
      <cdr:y>0.15627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21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0.01189</cdr:x>
      <cdr:y>0.02687</cdr:y>
    </cdr:from>
    <cdr:to>
      <cdr:x>0.22594</cdr:x>
      <cdr:y>0.15785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0.01171</cdr:x>
      <cdr:y>0.02687</cdr:y>
    </cdr:from>
    <cdr:to>
      <cdr:x>0.22247</cdr:x>
      <cdr:y>0.15784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0.01168</cdr:x>
      <cdr:y>0.02687</cdr:y>
    </cdr:from>
    <cdr:to>
      <cdr:x>0.22198</cdr:x>
      <cdr:y>0.15784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11</xdr:row>
      <xdr:rowOff>9525</xdr:rowOff>
    </xdr:from>
    <xdr:to>
      <xdr:col>22</xdr:col>
      <xdr:colOff>119063</xdr:colOff>
      <xdr:row>20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</xdr:colOff>
      <xdr:row>21</xdr:row>
      <xdr:rowOff>0</xdr:rowOff>
    </xdr:from>
    <xdr:to>
      <xdr:col>22</xdr:col>
      <xdr:colOff>128588</xdr:colOff>
      <xdr:row>21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21</xdr:row>
      <xdr:rowOff>19050</xdr:rowOff>
    </xdr:from>
    <xdr:to>
      <xdr:col>22</xdr:col>
      <xdr:colOff>147638</xdr:colOff>
      <xdr:row>30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1</xdr:row>
      <xdr:rowOff>0</xdr:rowOff>
    </xdr:from>
    <xdr:to>
      <xdr:col>22</xdr:col>
      <xdr:colOff>61913</xdr:colOff>
      <xdr:row>10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11</xdr:row>
      <xdr:rowOff>0</xdr:rowOff>
    </xdr:from>
    <xdr:to>
      <xdr:col>22</xdr:col>
      <xdr:colOff>80963</xdr:colOff>
      <xdr:row>21</xdr:row>
      <xdr:rowOff>4763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28575</xdr:colOff>
      <xdr:row>21</xdr:row>
      <xdr:rowOff>9525</xdr:rowOff>
    </xdr:from>
    <xdr:to>
      <xdr:col>22</xdr:col>
      <xdr:colOff>100013</xdr:colOff>
      <xdr:row>30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19050</xdr:colOff>
      <xdr:row>31</xdr:row>
      <xdr:rowOff>9525</xdr:rowOff>
    </xdr:from>
    <xdr:to>
      <xdr:col>22</xdr:col>
      <xdr:colOff>119063</xdr:colOff>
      <xdr:row>40</xdr:row>
      <xdr:rowOff>176213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19050</xdr:colOff>
      <xdr:row>41</xdr:row>
      <xdr:rowOff>0</xdr:rowOff>
    </xdr:from>
    <xdr:to>
      <xdr:col>22</xdr:col>
      <xdr:colOff>128588</xdr:colOff>
      <xdr:row>50</xdr:row>
      <xdr:rowOff>185738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19050</xdr:colOff>
      <xdr:row>51</xdr:row>
      <xdr:rowOff>9525</xdr:rowOff>
    </xdr:from>
    <xdr:to>
      <xdr:col>22</xdr:col>
      <xdr:colOff>128588</xdr:colOff>
      <xdr:row>61</xdr:row>
      <xdr:rowOff>4763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19050</xdr:colOff>
      <xdr:row>61</xdr:row>
      <xdr:rowOff>19050</xdr:rowOff>
    </xdr:from>
    <xdr:to>
      <xdr:col>22</xdr:col>
      <xdr:colOff>147638</xdr:colOff>
      <xdr:row>70</xdr:row>
      <xdr:rowOff>176213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19050</xdr:colOff>
      <xdr:row>71</xdr:row>
      <xdr:rowOff>0</xdr:rowOff>
    </xdr:from>
    <xdr:to>
      <xdr:col>22</xdr:col>
      <xdr:colOff>157163</xdr:colOff>
      <xdr:row>80</xdr:row>
      <xdr:rowOff>176213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28575</xdr:colOff>
      <xdr:row>81</xdr:row>
      <xdr:rowOff>0</xdr:rowOff>
    </xdr:from>
    <xdr:to>
      <xdr:col>22</xdr:col>
      <xdr:colOff>176213</xdr:colOff>
      <xdr:row>90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0.01197</cdr:x>
      <cdr:y>0.027</cdr:y>
    </cdr:from>
    <cdr:to>
      <cdr:x>0.22746</cdr:x>
      <cdr:y>0.15864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07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0.01192</cdr:x>
      <cdr:y>0.0266</cdr:y>
    </cdr:from>
    <cdr:to>
      <cdr:x>0.22645</cdr:x>
      <cdr:y>0.15627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21" cy="2476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0.01189</cdr:x>
      <cdr:y>0.02687</cdr:y>
    </cdr:from>
    <cdr:to>
      <cdr:x>0.22594</cdr:x>
      <cdr:y>0.15785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0.01181</cdr:x>
      <cdr:y>0.027</cdr:y>
    </cdr:from>
    <cdr:to>
      <cdr:x>0.22444</cdr:x>
      <cdr:y>0.15865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0.01179</cdr:x>
      <cdr:y>0.02673</cdr:y>
    </cdr:from>
    <cdr:to>
      <cdr:x>0.22394</cdr:x>
      <cdr:y>0.15706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0.01173</cdr:x>
      <cdr:y>0.02714</cdr:y>
    </cdr:from>
    <cdr:to>
      <cdr:x>0.22296</cdr:x>
      <cdr:y>0.15945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0.01171</cdr:x>
      <cdr:y>0.02687</cdr:y>
    </cdr:from>
    <cdr:to>
      <cdr:x>0.22247</cdr:x>
      <cdr:y>0.15785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0.01168</cdr:x>
      <cdr:y>0.02687</cdr:y>
    </cdr:from>
    <cdr:to>
      <cdr:x>0.22198</cdr:x>
      <cdr:y>0.15785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914414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100"/>
            <a:t>Quick Layout 9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"/>
  <sheetViews>
    <sheetView tabSelected="1" topLeftCell="A51" zoomScaleNormal="100" workbookViewId="0">
      <selection activeCell="L92" sqref="L92"/>
    </sheetView>
  </sheetViews>
  <sheetFormatPr defaultColWidth="9" defaultRowHeight="14.4" x14ac:dyDescent="0.55000000000000004"/>
  <cols>
    <col min="1" max="1" width="8.83984375" style="1" bestFit="1" customWidth="1"/>
    <col min="2" max="2" width="8.578125" style="1" bestFit="1" customWidth="1"/>
    <col min="3" max="4" width="12.83984375" style="19" bestFit="1" customWidth="1"/>
    <col min="5" max="5" width="10" style="1" bestFit="1" customWidth="1"/>
    <col min="6" max="6" width="12.26171875" style="1" bestFit="1" customWidth="1"/>
    <col min="7" max="8" width="9.05078125" style="1" bestFit="1" customWidth="1"/>
    <col min="9" max="10" width="8.26171875" style="14" bestFit="1" customWidth="1"/>
    <col min="11" max="11" width="8.26171875" style="15" bestFit="1" customWidth="1"/>
    <col min="12" max="12" width="10.578125" style="15" bestFit="1" customWidth="1"/>
    <col min="13" max="13" width="9" style="15" bestFit="1" customWidth="1"/>
    <col min="14" max="14" width="13.26171875" style="14" bestFit="1" customWidth="1"/>
    <col min="15" max="15" width="12.41796875" style="15" bestFit="1" customWidth="1"/>
    <col min="16" max="16384" width="9" style="1"/>
  </cols>
  <sheetData>
    <row r="1" spans="1:40" ht="14.7" x14ac:dyDescent="0.55000000000000004">
      <c r="A1" s="1" t="s">
        <v>14</v>
      </c>
      <c r="B1" s="1" t="s">
        <v>15</v>
      </c>
      <c r="C1" s="19" t="s">
        <v>7</v>
      </c>
      <c r="D1" s="19" t="s">
        <v>8</v>
      </c>
      <c r="E1" s="1" t="s">
        <v>9</v>
      </c>
      <c r="F1" s="1" t="s">
        <v>16</v>
      </c>
      <c r="G1" s="1" t="s">
        <v>2</v>
      </c>
      <c r="H1" s="1" t="s">
        <v>3</v>
      </c>
      <c r="I1" s="14" t="s">
        <v>4</v>
      </c>
      <c r="J1" s="14" t="s">
        <v>5</v>
      </c>
      <c r="K1" s="15" t="s">
        <v>6</v>
      </c>
      <c r="L1" s="15" t="s">
        <v>10</v>
      </c>
      <c r="M1" s="15" t="s">
        <v>13</v>
      </c>
      <c r="N1" s="14" t="s">
        <v>11</v>
      </c>
      <c r="O1" s="15" t="s">
        <v>12</v>
      </c>
    </row>
    <row r="2" spans="1:40" x14ac:dyDescent="0.55000000000000004">
      <c r="A2" s="8">
        <v>0.5</v>
      </c>
      <c r="B2" s="8">
        <v>-5</v>
      </c>
      <c r="C2" s="1">
        <v>-5.8052830794232901E-2</v>
      </c>
      <c r="D2" s="1">
        <v>-4.3063322518605496</v>
      </c>
      <c r="E2" s="2">
        <f t="shared" ref="E2:E65" si="0">C2-B2</f>
        <v>4.9419471692057675</v>
      </c>
      <c r="F2" s="2">
        <f t="shared" ref="F2:F65" si="1">D2-B2</f>
        <v>0.69366774813945042</v>
      </c>
      <c r="G2" s="8">
        <v>100</v>
      </c>
      <c r="H2" s="9">
        <v>100000</v>
      </c>
      <c r="I2" s="9">
        <f t="shared" ref="I2:I65" si="2">(A2-C2)/G2</f>
        <v>5.5805283079423292E-3</v>
      </c>
      <c r="J2" s="9">
        <f t="shared" ref="J2:J65" si="3">(0-D2)/H2</f>
        <v>4.3063322518605495E-5</v>
      </c>
      <c r="K2" s="5">
        <f t="shared" ref="K2:K65" si="4">I2/J2</f>
        <v>129.58889332171859</v>
      </c>
      <c r="L2" s="33">
        <f>(0.0056/(6*10^(-6)))</f>
        <v>933.33333333333326</v>
      </c>
      <c r="M2" s="16">
        <f>L2/I2</f>
        <v>167248.20336543996</v>
      </c>
      <c r="N2" s="9">
        <f t="shared" ref="N2:N65" si="5">I2/0.025</f>
        <v>0.22322113231769317</v>
      </c>
      <c r="O2" s="5">
        <f t="shared" ref="O2:O65" si="6">0.025/J2</f>
        <v>580.54043529035084</v>
      </c>
    </row>
    <row r="3" spans="1:40" x14ac:dyDescent="0.55000000000000004">
      <c r="A3" s="8">
        <v>1</v>
      </c>
      <c r="B3" s="8">
        <v>-5</v>
      </c>
      <c r="C3" s="1">
        <v>0.44164747065033699</v>
      </c>
      <c r="D3" s="1">
        <v>-4.3063322515563804</v>
      </c>
      <c r="E3" s="2">
        <f t="shared" si="0"/>
        <v>5.441647470650337</v>
      </c>
      <c r="F3" s="2">
        <f t="shared" si="1"/>
        <v>0.69366774844361956</v>
      </c>
      <c r="G3" s="8">
        <v>100</v>
      </c>
      <c r="H3" s="9">
        <v>100000</v>
      </c>
      <c r="I3" s="9">
        <f t="shared" si="2"/>
        <v>5.5835252934966296E-3</v>
      </c>
      <c r="J3" s="9">
        <f t="shared" si="3"/>
        <v>4.3063322515563807E-5</v>
      </c>
      <c r="K3" s="5">
        <f t="shared" si="4"/>
        <v>129.65848818280685</v>
      </c>
      <c r="L3" s="31"/>
      <c r="M3" s="16">
        <f>L2/I3</f>
        <v>167158.43204300094</v>
      </c>
      <c r="N3" s="9">
        <f t="shared" si="5"/>
        <v>0.22334101173986518</v>
      </c>
      <c r="O3" s="5">
        <f t="shared" si="6"/>
        <v>580.54043533135609</v>
      </c>
    </row>
    <row r="4" spans="1:40" x14ac:dyDescent="0.55000000000000004">
      <c r="A4" s="8">
        <v>1.5</v>
      </c>
      <c r="B4" s="8">
        <v>-5</v>
      </c>
      <c r="C4" s="1">
        <v>0.941347772008443</v>
      </c>
      <c r="D4" s="1">
        <v>-4.3063322512192999</v>
      </c>
      <c r="E4" s="2">
        <f t="shared" si="0"/>
        <v>5.9413477720084433</v>
      </c>
      <c r="F4" s="2">
        <f t="shared" si="1"/>
        <v>0.69366774878070014</v>
      </c>
      <c r="G4" s="8">
        <v>100</v>
      </c>
      <c r="H4" s="9">
        <v>100000</v>
      </c>
      <c r="I4" s="9">
        <f t="shared" si="2"/>
        <v>5.5865222799155699E-3</v>
      </c>
      <c r="J4" s="9">
        <f t="shared" si="3"/>
        <v>4.3063322512193002E-5</v>
      </c>
      <c r="K4" s="5">
        <f t="shared" si="4"/>
        <v>129.72808306497473</v>
      </c>
      <c r="L4" s="31"/>
      <c r="M4" s="16">
        <f>L2/I4</f>
        <v>167068.75701343105</v>
      </c>
      <c r="N4" s="9">
        <f t="shared" si="5"/>
        <v>0.2234608911966228</v>
      </c>
      <c r="O4" s="5">
        <f t="shared" si="6"/>
        <v>580.5404353767982</v>
      </c>
      <c r="AB4" s="19"/>
      <c r="AC4" s="19"/>
      <c r="AH4" s="14"/>
      <c r="AI4" s="14"/>
      <c r="AJ4" s="15"/>
      <c r="AK4" s="15"/>
      <c r="AL4" s="15"/>
      <c r="AM4" s="14"/>
      <c r="AN4" s="15"/>
    </row>
    <row r="5" spans="1:40" x14ac:dyDescent="0.55000000000000004">
      <c r="A5" s="8">
        <v>2</v>
      </c>
      <c r="B5" s="8">
        <v>-5</v>
      </c>
      <c r="C5" s="1">
        <v>1.4410480732761</v>
      </c>
      <c r="D5" s="1">
        <v>-4.3063322508489996</v>
      </c>
      <c r="E5" s="2">
        <f t="shared" si="0"/>
        <v>6.4410480732761002</v>
      </c>
      <c r="F5" s="2">
        <f t="shared" si="1"/>
        <v>0.69366774915100038</v>
      </c>
      <c r="G5" s="8">
        <v>100</v>
      </c>
      <c r="H5" s="9">
        <v>100000</v>
      </c>
      <c r="I5" s="9">
        <f t="shared" si="2"/>
        <v>5.5895192672390003E-3</v>
      </c>
      <c r="J5" s="9">
        <f t="shared" si="3"/>
        <v>4.3063322508489997E-5</v>
      </c>
      <c r="K5" s="5">
        <f t="shared" si="4"/>
        <v>129.79767796915851</v>
      </c>
      <c r="L5" s="31"/>
      <c r="M5" s="16">
        <f>L2/I5</f>
        <v>166979.17812069063</v>
      </c>
      <c r="N5" s="9">
        <f t="shared" si="5"/>
        <v>0.22358077068956</v>
      </c>
      <c r="O5" s="5">
        <f t="shared" si="6"/>
        <v>580.54043542671877</v>
      </c>
    </row>
    <row r="6" spans="1:40" x14ac:dyDescent="0.55000000000000004">
      <c r="A6" s="8">
        <v>2.5</v>
      </c>
      <c r="B6" s="8">
        <v>-5</v>
      </c>
      <c r="C6" s="1">
        <v>1.94074837445808</v>
      </c>
      <c r="D6" s="1">
        <v>-4.3063322504458696</v>
      </c>
      <c r="E6" s="2">
        <f t="shared" si="0"/>
        <v>6.9407483744580798</v>
      </c>
      <c r="F6" s="2">
        <f t="shared" si="1"/>
        <v>0.69366774955413035</v>
      </c>
      <c r="G6" s="8">
        <v>100</v>
      </c>
      <c r="H6" s="9">
        <v>100000</v>
      </c>
      <c r="I6" s="9">
        <f t="shared" si="2"/>
        <v>5.5925162554192002E-3</v>
      </c>
      <c r="J6" s="9">
        <f t="shared" si="3"/>
        <v>4.3063322504458696E-5</v>
      </c>
      <c r="K6" s="5">
        <f t="shared" si="4"/>
        <v>129.8672728942399</v>
      </c>
      <c r="L6" s="31"/>
      <c r="M6" s="16">
        <f>L2/I6</f>
        <v>166889.69521169018</v>
      </c>
      <c r="N6" s="9">
        <f t="shared" si="5"/>
        <v>0.22370065021676799</v>
      </c>
      <c r="O6" s="5">
        <f t="shared" si="6"/>
        <v>580.54043548106506</v>
      </c>
    </row>
    <row r="7" spans="1:40" x14ac:dyDescent="0.55000000000000004">
      <c r="A7" s="8">
        <v>3</v>
      </c>
      <c r="B7" s="8">
        <v>-5</v>
      </c>
      <c r="C7" s="1">
        <v>2.4404486755478101</v>
      </c>
      <c r="D7" s="1">
        <v>-4.3063322500093903</v>
      </c>
      <c r="E7" s="2">
        <f t="shared" si="0"/>
        <v>7.4404486755478096</v>
      </c>
      <c r="F7" s="2">
        <f t="shared" si="1"/>
        <v>0.69366774999060965</v>
      </c>
      <c r="G7" s="8">
        <v>100</v>
      </c>
      <c r="H7" s="9">
        <v>100000</v>
      </c>
      <c r="I7" s="9">
        <f t="shared" si="2"/>
        <v>5.5955132445218991E-3</v>
      </c>
      <c r="J7" s="9">
        <f t="shared" si="3"/>
        <v>4.3063322500093902E-5</v>
      </c>
      <c r="K7" s="5">
        <f t="shared" si="4"/>
        <v>129.93686784176251</v>
      </c>
      <c r="L7" s="31"/>
      <c r="M7" s="16">
        <f>L2/I7</f>
        <v>166800.30813028317</v>
      </c>
      <c r="N7" s="9">
        <f t="shared" si="5"/>
        <v>0.22382052978087597</v>
      </c>
      <c r="O7" s="5">
        <f t="shared" si="6"/>
        <v>580.54043553990721</v>
      </c>
    </row>
    <row r="8" spans="1:40" x14ac:dyDescent="0.55000000000000004">
      <c r="A8" s="8">
        <v>3.5</v>
      </c>
      <c r="B8" s="8">
        <v>-5</v>
      </c>
      <c r="C8" s="1">
        <v>2.9401489765510398</v>
      </c>
      <c r="D8" s="1">
        <v>-4.3063322495400298</v>
      </c>
      <c r="E8" s="2">
        <f t="shared" si="0"/>
        <v>7.9401489765510398</v>
      </c>
      <c r="F8" s="2">
        <f t="shared" si="1"/>
        <v>0.6936677504599702</v>
      </c>
      <c r="G8" s="8">
        <v>100</v>
      </c>
      <c r="H8" s="9">
        <v>100000</v>
      </c>
      <c r="I8" s="9">
        <f t="shared" si="2"/>
        <v>5.5985102344896023E-3</v>
      </c>
      <c r="J8" s="9">
        <f t="shared" si="3"/>
        <v>4.3063322495400296E-5</v>
      </c>
      <c r="K8" s="5">
        <f t="shared" si="4"/>
        <v>130.00646281037868</v>
      </c>
      <c r="L8" s="31"/>
      <c r="M8" s="16">
        <f>L2/I8</f>
        <v>166711.01672433081</v>
      </c>
      <c r="N8" s="9">
        <f t="shared" si="5"/>
        <v>0.22394040937958409</v>
      </c>
      <c r="O8" s="5">
        <f t="shared" si="6"/>
        <v>580.54043560318212</v>
      </c>
    </row>
    <row r="9" spans="1:40" x14ac:dyDescent="0.55000000000000004">
      <c r="A9" s="8">
        <v>4</v>
      </c>
      <c r="B9" s="8">
        <v>-5</v>
      </c>
      <c r="C9" s="1">
        <v>3.4398492774660299</v>
      </c>
      <c r="D9" s="1">
        <v>-4.3063322490376503</v>
      </c>
      <c r="E9" s="2">
        <f t="shared" si="0"/>
        <v>8.4398492774660294</v>
      </c>
      <c r="F9" s="2">
        <f t="shared" si="1"/>
        <v>0.69366775096234967</v>
      </c>
      <c r="G9" s="8">
        <v>100</v>
      </c>
      <c r="H9" s="9">
        <v>100000</v>
      </c>
      <c r="I9" s="9">
        <f t="shared" si="2"/>
        <v>5.6015072253397013E-3</v>
      </c>
      <c r="J9" s="9">
        <f t="shared" si="3"/>
        <v>4.3063322490376503E-5</v>
      </c>
      <c r="K9" s="5">
        <f t="shared" si="4"/>
        <v>130.07605780049803</v>
      </c>
      <c r="L9" s="31"/>
      <c r="M9" s="16">
        <f>L2/I9</f>
        <v>166621.82083978865</v>
      </c>
      <c r="N9" s="9">
        <f t="shared" si="5"/>
        <v>0.22406028901358804</v>
      </c>
      <c r="O9" s="5">
        <f t="shared" si="6"/>
        <v>580.54043567090832</v>
      </c>
    </row>
    <row r="10" spans="1:40" x14ac:dyDescent="0.55000000000000004">
      <c r="A10" s="8">
        <v>4.5</v>
      </c>
      <c r="B10" s="8">
        <v>-5</v>
      </c>
      <c r="C10" s="1">
        <v>3.9395495782908498</v>
      </c>
      <c r="D10" s="1">
        <v>-4.3063322485021303</v>
      </c>
      <c r="E10" s="2">
        <f t="shared" si="0"/>
        <v>8.9395495782908494</v>
      </c>
      <c r="F10" s="2">
        <f t="shared" si="1"/>
        <v>0.69366775149786974</v>
      </c>
      <c r="G10" s="8">
        <v>100</v>
      </c>
      <c r="H10" s="9">
        <v>100000</v>
      </c>
      <c r="I10" s="9">
        <f t="shared" si="2"/>
        <v>5.6045042170915016E-3</v>
      </c>
      <c r="J10" s="9">
        <f t="shared" si="3"/>
        <v>4.3063322485021303E-5</v>
      </c>
      <c r="K10" s="5">
        <f t="shared" si="4"/>
        <v>130.14565281257418</v>
      </c>
      <c r="L10" s="31"/>
      <c r="M10" s="16">
        <f>L2/I10</f>
        <v>166532.72032288584</v>
      </c>
      <c r="N10" s="9">
        <f t="shared" si="5"/>
        <v>0.22418016868366006</v>
      </c>
      <c r="O10" s="5">
        <f t="shared" si="6"/>
        <v>580.54043574310231</v>
      </c>
    </row>
    <row r="11" spans="1:40" x14ac:dyDescent="0.55000000000000004">
      <c r="A11" s="8">
        <v>5</v>
      </c>
      <c r="B11" s="8">
        <v>-5</v>
      </c>
      <c r="C11" s="1">
        <v>4.4392498790272104</v>
      </c>
      <c r="D11" s="1">
        <v>-4.3063322479336099</v>
      </c>
      <c r="E11" s="2">
        <f t="shared" si="0"/>
        <v>9.4392498790272104</v>
      </c>
      <c r="F11" s="2">
        <f t="shared" si="1"/>
        <v>0.69366775206639009</v>
      </c>
      <c r="G11" s="8">
        <v>100</v>
      </c>
      <c r="H11" s="9">
        <v>100000</v>
      </c>
      <c r="I11" s="9">
        <f t="shared" si="2"/>
        <v>5.6075012097278965E-3</v>
      </c>
      <c r="J11" s="9">
        <f t="shared" si="3"/>
        <v>4.3063322479336099E-5</v>
      </c>
      <c r="K11" s="5">
        <f t="shared" si="4"/>
        <v>130.21524784620721</v>
      </c>
      <c r="L11" s="31"/>
      <c r="M11" s="16">
        <f>L2/I11</f>
        <v>166443.71502126224</v>
      </c>
      <c r="N11" s="9">
        <f t="shared" si="5"/>
        <v>0.22430004838911585</v>
      </c>
      <c r="O11" s="5">
        <f t="shared" si="6"/>
        <v>580.54043581974497</v>
      </c>
    </row>
    <row r="12" spans="1:40" x14ac:dyDescent="0.55000000000000004">
      <c r="A12" s="21">
        <v>0.5</v>
      </c>
      <c r="B12" s="21">
        <v>-4.5</v>
      </c>
      <c r="C12" s="1">
        <v>2.7908892329878599E-3</v>
      </c>
      <c r="D12" s="1">
        <v>-3.8116174199141701</v>
      </c>
      <c r="E12" s="25">
        <f t="shared" si="0"/>
        <v>4.5027908892329878</v>
      </c>
      <c r="F12" s="25">
        <f t="shared" si="1"/>
        <v>0.68838258008582986</v>
      </c>
      <c r="G12" s="21">
        <v>100</v>
      </c>
      <c r="H12" s="22">
        <v>100000</v>
      </c>
      <c r="I12" s="22">
        <f t="shared" si="2"/>
        <v>4.9720911076701216E-3</v>
      </c>
      <c r="J12" s="22">
        <f t="shared" si="3"/>
        <v>3.8116174199141703E-5</v>
      </c>
      <c r="K12" s="23">
        <f t="shared" si="4"/>
        <v>130.44570217600912</v>
      </c>
      <c r="L12" s="39">
        <f>0.0049/(5*10^(-6))</f>
        <v>980</v>
      </c>
      <c r="M12" s="24">
        <f>L12/I12</f>
        <v>197100.16948165285</v>
      </c>
      <c r="N12" s="22">
        <f t="shared" si="5"/>
        <v>0.19888364430680486</v>
      </c>
      <c r="O12" s="23">
        <f t="shared" si="6"/>
        <v>655.88954099603598</v>
      </c>
    </row>
    <row r="13" spans="1:40" x14ac:dyDescent="0.55000000000000004">
      <c r="A13" s="21">
        <v>1</v>
      </c>
      <c r="B13" s="21">
        <v>-4.5</v>
      </c>
      <c r="C13" s="1">
        <v>0.50252388516147595</v>
      </c>
      <c r="D13" s="1">
        <v>-3.8116174197753798</v>
      </c>
      <c r="E13" s="25">
        <f t="shared" si="0"/>
        <v>5.0025238851614757</v>
      </c>
      <c r="F13" s="25">
        <f t="shared" si="1"/>
        <v>0.68838258022462018</v>
      </c>
      <c r="G13" s="21">
        <v>100</v>
      </c>
      <c r="H13" s="22">
        <v>100000</v>
      </c>
      <c r="I13" s="22">
        <f t="shared" si="2"/>
        <v>4.9747611483852401E-3</v>
      </c>
      <c r="J13" s="22">
        <f t="shared" si="3"/>
        <v>3.8116174197753795E-5</v>
      </c>
      <c r="K13" s="23">
        <f t="shared" si="4"/>
        <v>130.51575225192474</v>
      </c>
      <c r="L13" s="40"/>
      <c r="M13" s="24">
        <f>L12/I13</f>
        <v>196994.3823972531</v>
      </c>
      <c r="N13" s="22">
        <f t="shared" si="5"/>
        <v>0.1989904459354096</v>
      </c>
      <c r="O13" s="23">
        <f t="shared" si="6"/>
        <v>655.88954101991862</v>
      </c>
    </row>
    <row r="14" spans="1:40" x14ac:dyDescent="0.55000000000000004">
      <c r="A14" s="21">
        <v>1.5</v>
      </c>
      <c r="B14" s="21">
        <v>-4.5</v>
      </c>
      <c r="C14" s="1">
        <v>1.0022568804329</v>
      </c>
      <c r="D14" s="1">
        <v>-3.81161741933178</v>
      </c>
      <c r="E14" s="25">
        <f t="shared" si="0"/>
        <v>5.5022568804329</v>
      </c>
      <c r="F14" s="25">
        <f t="shared" si="1"/>
        <v>0.68838258066822</v>
      </c>
      <c r="G14" s="21">
        <v>100</v>
      </c>
      <c r="H14" s="22">
        <v>100000</v>
      </c>
      <c r="I14" s="22">
        <f t="shared" si="2"/>
        <v>4.9774311956710003E-3</v>
      </c>
      <c r="J14" s="22">
        <f t="shared" si="3"/>
        <v>3.8116174193317803E-5</v>
      </c>
      <c r="K14" s="23">
        <f t="shared" si="4"/>
        <v>130.58580251067275</v>
      </c>
      <c r="L14" s="40"/>
      <c r="M14" s="24">
        <f>L12/I14</f>
        <v>196888.70854755986</v>
      </c>
      <c r="N14" s="22">
        <f t="shared" si="5"/>
        <v>0.19909724782683999</v>
      </c>
      <c r="O14" s="23">
        <f t="shared" si="6"/>
        <v>655.88954109625161</v>
      </c>
    </row>
    <row r="15" spans="1:40" x14ac:dyDescent="0.55000000000000004">
      <c r="A15" s="21">
        <v>2</v>
      </c>
      <c r="B15" s="21">
        <v>-4.5</v>
      </c>
      <c r="C15" s="1">
        <v>1.50198987504397</v>
      </c>
      <c r="D15" s="1">
        <v>-3.8116174185831002</v>
      </c>
      <c r="E15" s="25">
        <f t="shared" si="0"/>
        <v>6.0019898750439697</v>
      </c>
      <c r="F15" s="25">
        <f t="shared" si="1"/>
        <v>0.68838258141689979</v>
      </c>
      <c r="G15" s="21">
        <v>100</v>
      </c>
      <c r="H15" s="22">
        <v>100000</v>
      </c>
      <c r="I15" s="22">
        <f t="shared" si="2"/>
        <v>4.9801012495603002E-3</v>
      </c>
      <c r="J15" s="22">
        <f t="shared" si="3"/>
        <v>3.8116174185831E-5</v>
      </c>
      <c r="K15" s="23">
        <f t="shared" si="4"/>
        <v>130.65585295314247</v>
      </c>
      <c r="L15" s="40"/>
      <c r="M15" s="24">
        <f>L12/I15</f>
        <v>196783.14774956141</v>
      </c>
      <c r="N15" s="22">
        <f t="shared" si="5"/>
        <v>0.19920404998241201</v>
      </c>
      <c r="O15" s="23">
        <f t="shared" si="6"/>
        <v>655.88954122508187</v>
      </c>
    </row>
    <row r="16" spans="1:40" x14ac:dyDescent="0.55000000000000004">
      <c r="A16" s="21">
        <v>2.5</v>
      </c>
      <c r="B16" s="21">
        <v>-4.5</v>
      </c>
      <c r="C16" s="1">
        <v>2.0017228689900599</v>
      </c>
      <c r="D16" s="1">
        <v>-3.8116174175289901</v>
      </c>
      <c r="E16" s="25">
        <f t="shared" si="0"/>
        <v>6.5017228689900595</v>
      </c>
      <c r="F16" s="25">
        <f t="shared" si="1"/>
        <v>0.68838258247100992</v>
      </c>
      <c r="G16" s="21">
        <v>100</v>
      </c>
      <c r="H16" s="22">
        <v>100000</v>
      </c>
      <c r="I16" s="22">
        <f t="shared" si="2"/>
        <v>4.9827713100994006E-3</v>
      </c>
      <c r="J16" s="22">
        <f t="shared" si="3"/>
        <v>3.8116174175289899E-5</v>
      </c>
      <c r="K16" s="23">
        <f t="shared" si="4"/>
        <v>130.72590358057633</v>
      </c>
      <c r="L16" s="40"/>
      <c r="M16" s="24">
        <f>L12/I16</f>
        <v>196677.69982011279</v>
      </c>
      <c r="N16" s="22">
        <f t="shared" si="5"/>
        <v>0.199310852403976</v>
      </c>
      <c r="O16" s="23">
        <f t="shared" si="6"/>
        <v>655.88954140646933</v>
      </c>
    </row>
    <row r="17" spans="1:15" x14ac:dyDescent="0.55000000000000004">
      <c r="A17" s="21">
        <v>3</v>
      </c>
      <c r="B17" s="21">
        <v>-4.5</v>
      </c>
      <c r="C17" s="1">
        <v>2.5014558622756402</v>
      </c>
      <c r="D17" s="1">
        <v>-3.8116174161699199</v>
      </c>
      <c r="E17" s="25">
        <f t="shared" si="0"/>
        <v>7.0014558622756402</v>
      </c>
      <c r="F17" s="25">
        <f t="shared" si="1"/>
        <v>0.68838258383008011</v>
      </c>
      <c r="G17" s="21">
        <v>100</v>
      </c>
      <c r="H17" s="22">
        <v>100000</v>
      </c>
      <c r="I17" s="22">
        <f t="shared" si="2"/>
        <v>4.9854413772435976E-3</v>
      </c>
      <c r="J17" s="22">
        <f t="shared" si="3"/>
        <v>3.8116174161699201E-5</v>
      </c>
      <c r="K17" s="23">
        <f t="shared" si="4"/>
        <v>130.79595439180218</v>
      </c>
      <c r="L17" s="40"/>
      <c r="M17" s="24">
        <f>L12/I17</f>
        <v>196572.36458005098</v>
      </c>
      <c r="N17" s="22">
        <f t="shared" si="5"/>
        <v>0.19941765508974391</v>
      </c>
      <c r="O17" s="23">
        <f t="shared" si="6"/>
        <v>655.88954164033328</v>
      </c>
    </row>
    <row r="18" spans="1:15" x14ac:dyDescent="0.55000000000000004">
      <c r="A18" s="21">
        <v>3.5</v>
      </c>
      <c r="B18" s="21">
        <v>-4.5</v>
      </c>
      <c r="C18" s="1">
        <v>3.0011888548985501</v>
      </c>
      <c r="D18" s="1">
        <v>-3.81161741450574</v>
      </c>
      <c r="E18" s="25">
        <f t="shared" si="0"/>
        <v>7.5011888548985501</v>
      </c>
      <c r="F18" s="25">
        <f t="shared" si="1"/>
        <v>0.68838258549426001</v>
      </c>
      <c r="G18" s="21">
        <v>100</v>
      </c>
      <c r="H18" s="22">
        <v>100000</v>
      </c>
      <c r="I18" s="22">
        <f t="shared" si="2"/>
        <v>4.9881114510144983E-3</v>
      </c>
      <c r="J18" s="22">
        <f t="shared" si="3"/>
        <v>3.8116174145057403E-5</v>
      </c>
      <c r="K18" s="23">
        <f t="shared" si="4"/>
        <v>130.8660053874089</v>
      </c>
      <c r="L18" s="40"/>
      <c r="M18" s="24">
        <f>L12/I18</f>
        <v>196467.14184798024</v>
      </c>
      <c r="N18" s="22">
        <f t="shared" si="5"/>
        <v>0.19952445804057992</v>
      </c>
      <c r="O18" s="23">
        <f t="shared" si="6"/>
        <v>655.88954192669939</v>
      </c>
    </row>
    <row r="19" spans="1:15" x14ac:dyDescent="0.55000000000000004">
      <c r="A19" s="21">
        <v>4</v>
      </c>
      <c r="B19" s="21">
        <v>-4.5</v>
      </c>
      <c r="C19" s="1">
        <v>3.5009218468566199</v>
      </c>
      <c r="D19" s="1">
        <v>-3.8116174125363398</v>
      </c>
      <c r="E19" s="25">
        <f t="shared" si="0"/>
        <v>8.0009218468566203</v>
      </c>
      <c r="F19" s="25">
        <f t="shared" si="1"/>
        <v>0.68838258746366021</v>
      </c>
      <c r="G19" s="21">
        <v>100</v>
      </c>
      <c r="H19" s="22">
        <v>100000</v>
      </c>
      <c r="I19" s="22">
        <f t="shared" si="2"/>
        <v>4.9907815314338012E-3</v>
      </c>
      <c r="J19" s="22">
        <f t="shared" si="3"/>
        <v>3.8116174125363399E-5</v>
      </c>
      <c r="K19" s="23">
        <f t="shared" si="4"/>
        <v>130.93605656798638</v>
      </c>
      <c r="L19" s="40"/>
      <c r="M19" s="24">
        <f>L12/I19</f>
        <v>196362.03144289023</v>
      </c>
      <c r="N19" s="22">
        <f t="shared" si="5"/>
        <v>0.19963126125735203</v>
      </c>
      <c r="O19" s="23">
        <f t="shared" si="6"/>
        <v>655.88954226558678</v>
      </c>
    </row>
    <row r="20" spans="1:15" x14ac:dyDescent="0.55000000000000004">
      <c r="A20" s="21">
        <v>4.5</v>
      </c>
      <c r="B20" s="21">
        <v>-4.5</v>
      </c>
      <c r="C20" s="1">
        <v>4.0006548381493401</v>
      </c>
      <c r="D20" s="1">
        <v>-3.8116174102616802</v>
      </c>
      <c r="E20" s="25">
        <f t="shared" si="0"/>
        <v>8.500654838149341</v>
      </c>
      <c r="F20" s="25">
        <f t="shared" si="1"/>
        <v>0.68838258973831978</v>
      </c>
      <c r="G20" s="21">
        <v>100</v>
      </c>
      <c r="H20" s="22">
        <v>100000</v>
      </c>
      <c r="I20" s="22">
        <f t="shared" si="2"/>
        <v>4.9934516185065995E-3</v>
      </c>
      <c r="J20" s="22">
        <f t="shared" si="3"/>
        <v>3.8116174102616803E-5</v>
      </c>
      <c r="K20" s="23">
        <f t="shared" si="4"/>
        <v>131.00610793368639</v>
      </c>
      <c r="L20" s="40"/>
      <c r="M20" s="24">
        <f>L12/I20</f>
        <v>196257.03318481141</v>
      </c>
      <c r="N20" s="22">
        <f t="shared" si="5"/>
        <v>0.19973806474026398</v>
      </c>
      <c r="O20" s="23">
        <f t="shared" si="6"/>
        <v>655.88954265700204</v>
      </c>
    </row>
    <row r="21" spans="1:15" x14ac:dyDescent="0.55000000000000004">
      <c r="A21" s="21">
        <v>5</v>
      </c>
      <c r="B21" s="21">
        <v>-4.5</v>
      </c>
      <c r="C21" s="1">
        <v>4.5003878287779999</v>
      </c>
      <c r="D21" s="1">
        <v>-3.81161740768199</v>
      </c>
      <c r="E21" s="25">
        <f t="shared" si="0"/>
        <v>9.000387828777999</v>
      </c>
      <c r="F21" s="25">
        <f t="shared" si="1"/>
        <v>0.68838259231801002</v>
      </c>
      <c r="G21" s="21">
        <v>100</v>
      </c>
      <c r="H21" s="22">
        <v>100000</v>
      </c>
      <c r="I21" s="22">
        <f t="shared" si="2"/>
        <v>4.9961217122200009E-3</v>
      </c>
      <c r="J21" s="22">
        <f t="shared" si="3"/>
        <v>3.81161740768199E-5</v>
      </c>
      <c r="K21" s="23">
        <f t="shared" si="4"/>
        <v>131.0761594841797</v>
      </c>
      <c r="L21" s="41"/>
      <c r="M21" s="24">
        <f>L12/I21</f>
        <v>196152.14689486459</v>
      </c>
      <c r="N21" s="22">
        <f t="shared" si="5"/>
        <v>0.19984486848880004</v>
      </c>
      <c r="O21" s="23">
        <f t="shared" si="6"/>
        <v>655.88954310090594</v>
      </c>
    </row>
    <row r="22" spans="1:15" x14ac:dyDescent="0.55000000000000004">
      <c r="A22" s="10">
        <v>0.5</v>
      </c>
      <c r="B22" s="10">
        <v>-4</v>
      </c>
      <c r="C22" s="1">
        <v>6.5213369495267404E-2</v>
      </c>
      <c r="D22" s="1">
        <v>-3.3176686148365602</v>
      </c>
      <c r="E22" s="3">
        <f t="shared" si="0"/>
        <v>4.0652133694952672</v>
      </c>
      <c r="F22" s="3">
        <f t="shared" si="1"/>
        <v>0.68233138516343983</v>
      </c>
      <c r="G22" s="10">
        <v>100</v>
      </c>
      <c r="H22" s="11">
        <v>100000</v>
      </c>
      <c r="I22" s="11">
        <f t="shared" si="2"/>
        <v>4.3478663050473257E-3</v>
      </c>
      <c r="J22" s="11">
        <f t="shared" si="3"/>
        <v>3.3176686148365599E-5</v>
      </c>
      <c r="K22" s="6">
        <f t="shared" si="4"/>
        <v>131.05185628256356</v>
      </c>
      <c r="L22" s="30">
        <f>0.0043/(5*10^-6)</f>
        <v>860.00000000000011</v>
      </c>
      <c r="M22" s="17">
        <f>L22/I22</f>
        <v>197798.17033510169</v>
      </c>
      <c r="N22" s="11">
        <f t="shared" si="5"/>
        <v>0.17391465220189301</v>
      </c>
      <c r="O22" s="6">
        <f t="shared" si="6"/>
        <v>753.5412032473771</v>
      </c>
    </row>
    <row r="23" spans="1:15" x14ac:dyDescent="0.55000000000000004">
      <c r="A23" s="10">
        <v>1</v>
      </c>
      <c r="B23" s="10">
        <v>-4</v>
      </c>
      <c r="C23" s="1">
        <v>0.56497992544886599</v>
      </c>
      <c r="D23" s="1">
        <v>-3.3176686159606898</v>
      </c>
      <c r="E23" s="3">
        <f t="shared" si="0"/>
        <v>4.5649799254488661</v>
      </c>
      <c r="F23" s="3">
        <f t="shared" si="1"/>
        <v>0.68233138403931015</v>
      </c>
      <c r="G23" s="10">
        <v>100</v>
      </c>
      <c r="H23" s="11">
        <v>100000</v>
      </c>
      <c r="I23" s="11">
        <f t="shared" si="2"/>
        <v>4.3502007455113404E-3</v>
      </c>
      <c r="J23" s="11">
        <f t="shared" si="3"/>
        <v>3.3176686159606898E-5</v>
      </c>
      <c r="K23" s="6">
        <f t="shared" si="4"/>
        <v>131.12222012118178</v>
      </c>
      <c r="L23" s="31"/>
      <c r="M23" s="17">
        <f>L22/I23</f>
        <v>197692.0262558854</v>
      </c>
      <c r="N23" s="11">
        <f t="shared" si="5"/>
        <v>0.1740080298204536</v>
      </c>
      <c r="O23" s="6">
        <f t="shared" si="6"/>
        <v>753.54120299205374</v>
      </c>
    </row>
    <row r="24" spans="1:15" x14ac:dyDescent="0.55000000000000004">
      <c r="A24" s="10">
        <v>1.5</v>
      </c>
      <c r="B24" s="10">
        <v>-4</v>
      </c>
      <c r="C24" s="1">
        <v>1.06474647677514</v>
      </c>
      <c r="D24" s="1">
        <v>-3.3176686143132401</v>
      </c>
      <c r="E24" s="3">
        <f t="shared" si="0"/>
        <v>5.0647464767751398</v>
      </c>
      <c r="F24" s="3">
        <f t="shared" si="1"/>
        <v>0.68233138568675988</v>
      </c>
      <c r="G24" s="10">
        <v>100</v>
      </c>
      <c r="H24" s="11">
        <v>100000</v>
      </c>
      <c r="I24" s="11">
        <f t="shared" si="2"/>
        <v>4.3525352322486E-3</v>
      </c>
      <c r="J24" s="11">
        <f t="shared" si="3"/>
        <v>3.3176686143132399E-5</v>
      </c>
      <c r="K24" s="6">
        <f t="shared" si="4"/>
        <v>131.19258546410242</v>
      </c>
      <c r="L24" s="31"/>
      <c r="M24" s="17">
        <f>L22/I24</f>
        <v>197585.99393478275</v>
      </c>
      <c r="N24" s="11">
        <f t="shared" si="5"/>
        <v>0.174101409289944</v>
      </c>
      <c r="O24" s="6">
        <f t="shared" si="6"/>
        <v>753.54120336623862</v>
      </c>
    </row>
    <row r="25" spans="1:15" x14ac:dyDescent="0.55000000000000004">
      <c r="A25" s="10">
        <v>2</v>
      </c>
      <c r="B25" s="10">
        <v>-4</v>
      </c>
      <c r="C25" s="1">
        <v>1.56451302347105</v>
      </c>
      <c r="D25" s="1">
        <v>-3.3176686098936199</v>
      </c>
      <c r="E25" s="3">
        <f t="shared" si="0"/>
        <v>5.5645130234710498</v>
      </c>
      <c r="F25" s="3">
        <f t="shared" si="1"/>
        <v>0.68233139010638011</v>
      </c>
      <c r="G25" s="10">
        <v>100</v>
      </c>
      <c r="H25" s="11">
        <v>100000</v>
      </c>
      <c r="I25" s="11">
        <f t="shared" si="2"/>
        <v>4.3548697652894992E-3</v>
      </c>
      <c r="J25" s="11">
        <f t="shared" si="3"/>
        <v>3.3176686098936198E-5</v>
      </c>
      <c r="K25" s="6">
        <f t="shared" si="4"/>
        <v>131.2629523124414</v>
      </c>
      <c r="L25" s="31"/>
      <c r="M25" s="17">
        <f>L22/I25</f>
        <v>197480.07319406711</v>
      </c>
      <c r="N25" s="11">
        <f t="shared" si="5"/>
        <v>0.17419479061157997</v>
      </c>
      <c r="O25" s="6">
        <f t="shared" si="6"/>
        <v>753.54120437006577</v>
      </c>
    </row>
    <row r="26" spans="1:15" x14ac:dyDescent="0.55000000000000004">
      <c r="A26" s="10">
        <v>2.5</v>
      </c>
      <c r="B26" s="10">
        <v>-4</v>
      </c>
      <c r="C26" s="1">
        <v>2.0642795655334001</v>
      </c>
      <c r="D26" s="1">
        <v>-3.3176686027012798</v>
      </c>
      <c r="E26" s="3">
        <f t="shared" si="0"/>
        <v>6.0642795655334005</v>
      </c>
      <c r="F26" s="3">
        <f t="shared" si="1"/>
        <v>0.68233139729872017</v>
      </c>
      <c r="G26" s="10">
        <v>100</v>
      </c>
      <c r="H26" s="11">
        <v>100000</v>
      </c>
      <c r="I26" s="11">
        <f t="shared" si="2"/>
        <v>4.3572043446659988E-3</v>
      </c>
      <c r="J26" s="11">
        <f t="shared" si="3"/>
        <v>3.3176686027012801E-5</v>
      </c>
      <c r="K26" s="6">
        <f t="shared" si="4"/>
        <v>131.33332066736014</v>
      </c>
      <c r="L26" s="31"/>
      <c r="M26" s="17">
        <f>L22/I26</f>
        <v>197374.26385631756</v>
      </c>
      <c r="N26" s="11">
        <f t="shared" si="5"/>
        <v>0.17428817378663994</v>
      </c>
      <c r="O26" s="6">
        <f t="shared" si="6"/>
        <v>753.54120600366002</v>
      </c>
    </row>
    <row r="27" spans="1:15" x14ac:dyDescent="0.55000000000000004">
      <c r="A27" s="10">
        <v>3</v>
      </c>
      <c r="B27" s="10">
        <v>-4</v>
      </c>
      <c r="C27" s="1">
        <v>2.5640461029580899</v>
      </c>
      <c r="D27" s="1">
        <v>-3.3176685927355298</v>
      </c>
      <c r="E27" s="3">
        <f t="shared" si="0"/>
        <v>6.5640461029580894</v>
      </c>
      <c r="F27" s="3">
        <f t="shared" si="1"/>
        <v>0.68233140726447017</v>
      </c>
      <c r="G27" s="10">
        <v>100</v>
      </c>
      <c r="H27" s="11">
        <v>100000</v>
      </c>
      <c r="I27" s="11">
        <f t="shared" si="2"/>
        <v>4.3595389704191015E-3</v>
      </c>
      <c r="J27" s="11">
        <f t="shared" si="3"/>
        <v>3.3176685927355295E-5</v>
      </c>
      <c r="K27" s="6">
        <f t="shared" si="4"/>
        <v>131.40369053029841</v>
      </c>
      <c r="L27" s="31"/>
      <c r="M27" s="17">
        <f>L22/I27</f>
        <v>197268.56574408017</v>
      </c>
      <c r="N27" s="11">
        <f t="shared" si="5"/>
        <v>0.17438155881676404</v>
      </c>
      <c r="O27" s="6">
        <f t="shared" si="6"/>
        <v>753.54120826717838</v>
      </c>
    </row>
    <row r="28" spans="1:15" x14ac:dyDescent="0.55000000000000004">
      <c r="A28" s="10">
        <v>3.5</v>
      </c>
      <c r="B28" s="10">
        <v>-4</v>
      </c>
      <c r="C28" s="1">
        <v>3.0638126936456</v>
      </c>
      <c r="D28" s="1">
        <v>-3.3176686146515699</v>
      </c>
      <c r="E28" s="3">
        <f t="shared" si="0"/>
        <v>7.0638126936456</v>
      </c>
      <c r="F28" s="3">
        <f t="shared" si="1"/>
        <v>0.68233138534843008</v>
      </c>
      <c r="G28" s="10">
        <v>100</v>
      </c>
      <c r="H28" s="11">
        <v>100000</v>
      </c>
      <c r="I28" s="11">
        <f t="shared" si="2"/>
        <v>4.3618730635439995E-3</v>
      </c>
      <c r="J28" s="11">
        <f t="shared" si="3"/>
        <v>3.3176686146515699E-5</v>
      </c>
      <c r="K28" s="6">
        <f t="shared" si="4"/>
        <v>131.47404307594158</v>
      </c>
      <c r="L28" s="31"/>
      <c r="M28" s="17">
        <f>L22/I28</f>
        <v>197163.00485398687</v>
      </c>
      <c r="N28" s="11">
        <f t="shared" si="5"/>
        <v>0.17447492254175997</v>
      </c>
      <c r="O28" s="6">
        <f t="shared" si="6"/>
        <v>753.54120328939382</v>
      </c>
    </row>
    <row r="29" spans="1:15" x14ac:dyDescent="0.55000000000000004">
      <c r="A29" s="10">
        <v>4</v>
      </c>
      <c r="B29" s="10">
        <v>-4</v>
      </c>
      <c r="C29" s="1">
        <v>3.5635792100023802</v>
      </c>
      <c r="D29" s="1">
        <v>-3.3176685921545901</v>
      </c>
      <c r="E29" s="3">
        <f t="shared" si="0"/>
        <v>7.5635792100023806</v>
      </c>
      <c r="F29" s="3">
        <f t="shared" si="1"/>
        <v>0.68233140784540991</v>
      </c>
      <c r="G29" s="10">
        <v>100</v>
      </c>
      <c r="H29" s="11">
        <v>100000</v>
      </c>
      <c r="I29" s="11">
        <f t="shared" si="2"/>
        <v>4.3642078999761979E-3</v>
      </c>
      <c r="J29" s="11">
        <f t="shared" si="3"/>
        <v>3.3176685921545903E-5</v>
      </c>
      <c r="K29" s="6">
        <f t="shared" si="4"/>
        <v>131.5444197861232</v>
      </c>
      <c r="L29" s="31"/>
      <c r="M29" s="17">
        <f>L22/I29</f>
        <v>197057.52331475558</v>
      </c>
      <c r="N29" s="11">
        <f t="shared" si="5"/>
        <v>0.1745683159990479</v>
      </c>
      <c r="O29" s="6">
        <f t="shared" si="6"/>
        <v>753.54120839912696</v>
      </c>
    </row>
    <row r="30" spans="1:15" x14ac:dyDescent="0.55000000000000004">
      <c r="A30" s="10">
        <v>4.5</v>
      </c>
      <c r="B30" s="10">
        <v>-4</v>
      </c>
      <c r="C30" s="1">
        <v>4.0633458009231802</v>
      </c>
      <c r="D30" s="1">
        <v>-3.3176686141279901</v>
      </c>
      <c r="E30" s="3">
        <f t="shared" si="0"/>
        <v>8.0633458009231802</v>
      </c>
      <c r="F30" s="3">
        <f t="shared" si="1"/>
        <v>0.68233138587200992</v>
      </c>
      <c r="G30" s="10">
        <v>100</v>
      </c>
      <c r="H30" s="11">
        <v>100000</v>
      </c>
      <c r="I30" s="11">
        <f t="shared" si="2"/>
        <v>4.3665419907681982E-3</v>
      </c>
      <c r="J30" s="11">
        <f t="shared" si="3"/>
        <v>3.3176686141279904E-5</v>
      </c>
      <c r="K30" s="6">
        <f t="shared" si="4"/>
        <v>131.61477225825618</v>
      </c>
      <c r="L30" s="31"/>
      <c r="M30" s="17">
        <f>L22/I30</f>
        <v>196952.18821168414</v>
      </c>
      <c r="N30" s="11">
        <f t="shared" si="5"/>
        <v>0.17466167963072793</v>
      </c>
      <c r="O30" s="6">
        <f t="shared" si="6"/>
        <v>753.54120340831423</v>
      </c>
    </row>
    <row r="31" spans="1:15" x14ac:dyDescent="0.55000000000000004">
      <c r="A31" s="10">
        <v>5</v>
      </c>
      <c r="B31" s="10">
        <v>-4</v>
      </c>
      <c r="C31" s="1">
        <v>4.5631123176207797</v>
      </c>
      <c r="D31" s="1">
        <v>-3.3176685918000302</v>
      </c>
      <c r="E31" s="3">
        <f t="shared" si="0"/>
        <v>8.5631123176207797</v>
      </c>
      <c r="F31" s="3">
        <f t="shared" si="1"/>
        <v>0.68233140819996985</v>
      </c>
      <c r="G31" s="10">
        <v>100</v>
      </c>
      <c r="H31" s="11">
        <v>100000</v>
      </c>
      <c r="I31" s="11">
        <f t="shared" si="2"/>
        <v>4.3688768237922027E-3</v>
      </c>
      <c r="J31" s="11">
        <f t="shared" si="3"/>
        <v>3.3176685918000304E-5</v>
      </c>
      <c r="K31" s="6">
        <f t="shared" si="4"/>
        <v>131.68514885996584</v>
      </c>
      <c r="L31" s="31"/>
      <c r="M31" s="17">
        <f>L22/I31</f>
        <v>196846.93221758463</v>
      </c>
      <c r="N31" s="11">
        <f t="shared" si="5"/>
        <v>0.1747550729516881</v>
      </c>
      <c r="O31" s="6">
        <f t="shared" si="6"/>
        <v>753.54120847965805</v>
      </c>
    </row>
    <row r="32" spans="1:15" x14ac:dyDescent="0.55000000000000004">
      <c r="A32" s="12">
        <v>0.5</v>
      </c>
      <c r="B32" s="12">
        <v>-3.5</v>
      </c>
      <c r="C32" s="1">
        <v>0.129253450869877</v>
      </c>
      <c r="D32" s="1">
        <v>-2.8247403555255102</v>
      </c>
      <c r="E32" s="4">
        <f t="shared" si="0"/>
        <v>3.6292534508698768</v>
      </c>
      <c r="F32" s="4">
        <f t="shared" si="1"/>
        <v>0.67525964447448983</v>
      </c>
      <c r="G32" s="12">
        <v>100</v>
      </c>
      <c r="H32" s="13">
        <v>100000</v>
      </c>
      <c r="I32" s="13">
        <f t="shared" si="2"/>
        <v>3.7074654913012302E-3</v>
      </c>
      <c r="J32" s="13">
        <f t="shared" si="3"/>
        <v>2.8247403555255103E-5</v>
      </c>
      <c r="K32" s="7">
        <f t="shared" si="4"/>
        <v>131.24977961422223</v>
      </c>
      <c r="L32" s="32">
        <f>0.0037/(4*10^-6)</f>
        <v>925.00000000000011</v>
      </c>
      <c r="M32" s="18">
        <f>L32/I32</f>
        <v>249496.59064131911</v>
      </c>
      <c r="N32" s="13">
        <f t="shared" si="5"/>
        <v>0.14829861965204921</v>
      </c>
      <c r="O32" s="7">
        <f t="shared" si="6"/>
        <v>885.03709557224204</v>
      </c>
    </row>
    <row r="33" spans="1:15" x14ac:dyDescent="0.55000000000000004">
      <c r="A33" s="12">
        <v>1</v>
      </c>
      <c r="B33" s="12">
        <v>-3.5</v>
      </c>
      <c r="C33" s="1">
        <v>0.62905445876450305</v>
      </c>
      <c r="D33" s="1">
        <v>-2.8247403678812701</v>
      </c>
      <c r="E33" s="4">
        <f t="shared" si="0"/>
        <v>4.1290544587645028</v>
      </c>
      <c r="F33" s="4">
        <f t="shared" si="1"/>
        <v>0.67525963211872986</v>
      </c>
      <c r="G33" s="12">
        <v>100</v>
      </c>
      <c r="H33" s="13">
        <v>100000</v>
      </c>
      <c r="I33" s="13">
        <f t="shared" si="2"/>
        <v>3.7094554123549696E-3</v>
      </c>
      <c r="J33" s="13">
        <f t="shared" si="3"/>
        <v>2.82474036788127E-5</v>
      </c>
      <c r="K33" s="7">
        <f t="shared" si="4"/>
        <v>131.32022519780432</v>
      </c>
      <c r="L33" s="31"/>
      <c r="M33" s="18">
        <f>L32/I33</f>
        <v>249362.74929175075</v>
      </c>
      <c r="N33" s="13">
        <f t="shared" si="5"/>
        <v>0.14837821649419877</v>
      </c>
      <c r="O33" s="7">
        <f t="shared" si="6"/>
        <v>885.03709170098159</v>
      </c>
    </row>
    <row r="34" spans="1:15" x14ac:dyDescent="0.55000000000000004">
      <c r="A34" s="12">
        <v>1.5</v>
      </c>
      <c r="B34" s="12">
        <v>-3.5</v>
      </c>
      <c r="C34" s="1">
        <v>1.1288554367339301</v>
      </c>
      <c r="D34" s="1">
        <v>-2.82474035507266</v>
      </c>
      <c r="E34" s="4">
        <f t="shared" si="0"/>
        <v>4.6288554367339305</v>
      </c>
      <c r="F34" s="4">
        <f t="shared" si="1"/>
        <v>0.67525964492734003</v>
      </c>
      <c r="G34" s="12">
        <v>100</v>
      </c>
      <c r="H34" s="13">
        <v>100000</v>
      </c>
      <c r="I34" s="13">
        <f t="shared" si="2"/>
        <v>3.7114456326606993E-3</v>
      </c>
      <c r="J34" s="13">
        <f t="shared" si="3"/>
        <v>2.82474035507266E-5</v>
      </c>
      <c r="K34" s="7">
        <f t="shared" si="4"/>
        <v>131.3906825452363</v>
      </c>
      <c r="L34" s="31"/>
      <c r="M34" s="18">
        <f>L32/I34</f>
        <v>249229.03136718631</v>
      </c>
      <c r="N34" s="13">
        <f t="shared" si="5"/>
        <v>0.14845782530642795</v>
      </c>
      <c r="O34" s="7">
        <f t="shared" si="6"/>
        <v>885.03709571412742</v>
      </c>
    </row>
    <row r="35" spans="1:15" x14ac:dyDescent="0.55000000000000004">
      <c r="A35" s="12">
        <v>2</v>
      </c>
      <c r="B35" s="12">
        <v>-3.5</v>
      </c>
      <c r="C35" s="1">
        <v>1.62865644459452</v>
      </c>
      <c r="D35" s="1">
        <v>-2.8247403674151399</v>
      </c>
      <c r="E35" s="4">
        <f t="shared" si="0"/>
        <v>5.1286564445945197</v>
      </c>
      <c r="F35" s="4">
        <f t="shared" si="1"/>
        <v>0.6752596325848601</v>
      </c>
      <c r="G35" s="12">
        <v>100</v>
      </c>
      <c r="H35" s="13">
        <v>100000</v>
      </c>
      <c r="I35" s="13">
        <f t="shared" si="2"/>
        <v>3.7134355540548005E-3</v>
      </c>
      <c r="J35" s="13">
        <f t="shared" si="3"/>
        <v>2.82474036741514E-5</v>
      </c>
      <c r="K35" s="7">
        <f t="shared" si="4"/>
        <v>131.46112814088067</v>
      </c>
      <c r="L35" s="31"/>
      <c r="M35" s="18">
        <f>L32/I35</f>
        <v>249095.47682602642</v>
      </c>
      <c r="N35" s="13">
        <f t="shared" si="5"/>
        <v>0.14853742216219201</v>
      </c>
      <c r="O35" s="7">
        <f t="shared" si="6"/>
        <v>885.0370918470278</v>
      </c>
    </row>
    <row r="36" spans="1:15" x14ac:dyDescent="0.55000000000000004">
      <c r="A36" s="12">
        <v>2.5</v>
      </c>
      <c r="B36" s="12">
        <v>-3.5</v>
      </c>
      <c r="C36" s="1">
        <v>2.1284574224269202</v>
      </c>
      <c r="D36" s="1">
        <v>-2.82474035453449</v>
      </c>
      <c r="E36" s="4">
        <f t="shared" si="0"/>
        <v>5.6284574224269202</v>
      </c>
      <c r="F36" s="4">
        <f t="shared" si="1"/>
        <v>0.67525964546550998</v>
      </c>
      <c r="G36" s="12">
        <v>100</v>
      </c>
      <c r="H36" s="13">
        <v>100000</v>
      </c>
      <c r="I36" s="13">
        <f t="shared" si="2"/>
        <v>3.7154257757307987E-3</v>
      </c>
      <c r="J36" s="13">
        <f t="shared" si="3"/>
        <v>2.8247403545344899E-5</v>
      </c>
      <c r="K36" s="7">
        <f t="shared" si="4"/>
        <v>131.53158554082722</v>
      </c>
      <c r="L36" s="31"/>
      <c r="M36" s="18">
        <f>L32/I36</f>
        <v>248962.04522294863</v>
      </c>
      <c r="N36" s="13">
        <f t="shared" si="5"/>
        <v>0.14861703102923193</v>
      </c>
      <c r="O36" s="7">
        <f t="shared" si="6"/>
        <v>885.03709588274489</v>
      </c>
    </row>
    <row r="37" spans="1:15" x14ac:dyDescent="0.55000000000000004">
      <c r="A37" s="12">
        <v>3</v>
      </c>
      <c r="B37" s="12">
        <v>-3.5</v>
      </c>
      <c r="C37" s="1">
        <v>2.6282584304216399</v>
      </c>
      <c r="D37" s="1">
        <v>-2.8247403669488498</v>
      </c>
      <c r="E37" s="4">
        <f t="shared" si="0"/>
        <v>6.1282584304216403</v>
      </c>
      <c r="F37" s="4">
        <f t="shared" si="1"/>
        <v>0.67525963305115022</v>
      </c>
      <c r="G37" s="12">
        <v>100</v>
      </c>
      <c r="H37" s="13">
        <v>100000</v>
      </c>
      <c r="I37" s="13">
        <f t="shared" si="2"/>
        <v>3.7174156957836013E-3</v>
      </c>
      <c r="J37" s="13">
        <f t="shared" si="3"/>
        <v>2.8247403669488497E-5</v>
      </c>
      <c r="K37" s="7">
        <f t="shared" si="4"/>
        <v>131.60203108503657</v>
      </c>
      <c r="L37" s="31"/>
      <c r="M37" s="18">
        <f>L32/I37</f>
        <v>248828.77668191949</v>
      </c>
      <c r="N37" s="13">
        <f t="shared" si="5"/>
        <v>0.14869662783134405</v>
      </c>
      <c r="O37" s="7">
        <f t="shared" si="6"/>
        <v>885.03709199312402</v>
      </c>
    </row>
    <row r="38" spans="1:15" x14ac:dyDescent="0.55000000000000004">
      <c r="A38" s="12">
        <v>3.5</v>
      </c>
      <c r="B38" s="12">
        <v>-3.5</v>
      </c>
      <c r="C38" s="1">
        <v>3.1280594083589399</v>
      </c>
      <c r="D38" s="1">
        <v>-2.8247403541405198</v>
      </c>
      <c r="E38" s="4">
        <f t="shared" si="0"/>
        <v>6.6280594083589399</v>
      </c>
      <c r="F38" s="4">
        <f t="shared" si="1"/>
        <v>0.67525964585948017</v>
      </c>
      <c r="G38" s="12">
        <v>100</v>
      </c>
      <c r="H38" s="13">
        <v>100000</v>
      </c>
      <c r="I38" s="13">
        <f t="shared" si="2"/>
        <v>3.7194059164106009E-3</v>
      </c>
      <c r="J38" s="13">
        <f t="shared" si="3"/>
        <v>2.8247403541405199E-5</v>
      </c>
      <c r="K38" s="7">
        <f t="shared" si="4"/>
        <v>131.67248844513003</v>
      </c>
      <c r="L38" s="31"/>
      <c r="M38" s="18">
        <f>L32/I38</f>
        <v>248695.63064325822</v>
      </c>
      <c r="N38" s="13">
        <f t="shared" si="5"/>
        <v>0.14877623665642403</v>
      </c>
      <c r="O38" s="7">
        <f t="shared" si="6"/>
        <v>885.03709600618208</v>
      </c>
    </row>
    <row r="39" spans="1:15" x14ac:dyDescent="0.55000000000000004">
      <c r="A39" s="12">
        <v>4</v>
      </c>
      <c r="B39" s="12">
        <v>-3.5</v>
      </c>
      <c r="C39" s="1">
        <v>3.6278604162484802</v>
      </c>
      <c r="D39" s="1">
        <v>-2.8247403664827</v>
      </c>
      <c r="E39" s="4">
        <f t="shared" si="0"/>
        <v>7.1278604162484802</v>
      </c>
      <c r="F39" s="4">
        <f t="shared" si="1"/>
        <v>0.67525963351730001</v>
      </c>
      <c r="G39" s="12">
        <v>100</v>
      </c>
      <c r="H39" s="13">
        <v>100000</v>
      </c>
      <c r="I39" s="13">
        <f t="shared" si="2"/>
        <v>3.721395837515198E-3</v>
      </c>
      <c r="J39" s="13">
        <f t="shared" si="3"/>
        <v>2.8247403664827E-5</v>
      </c>
      <c r="K39" s="7">
        <f t="shared" si="4"/>
        <v>131.74293402933142</v>
      </c>
      <c r="L39" s="31"/>
      <c r="M39" s="18">
        <f>L32/I39</f>
        <v>248562.64702484029</v>
      </c>
      <c r="N39" s="13">
        <f t="shared" si="5"/>
        <v>0.14885583350060791</v>
      </c>
      <c r="O39" s="7">
        <f t="shared" si="6"/>
        <v>885.03709213917637</v>
      </c>
    </row>
    <row r="40" spans="1:15" x14ac:dyDescent="0.55000000000000004">
      <c r="A40" s="12">
        <v>4.5</v>
      </c>
      <c r="B40" s="12">
        <v>-3.5</v>
      </c>
      <c r="C40" s="1">
        <v>4.1276613940493103</v>
      </c>
      <c r="D40" s="1">
        <v>-2.8247403536023401</v>
      </c>
      <c r="E40" s="4">
        <f t="shared" si="0"/>
        <v>7.6276613940493103</v>
      </c>
      <c r="F40" s="4">
        <f t="shared" si="1"/>
        <v>0.6752596463976599</v>
      </c>
      <c r="G40" s="12">
        <v>100</v>
      </c>
      <c r="H40" s="13">
        <v>100000</v>
      </c>
      <c r="I40" s="13">
        <f t="shared" si="2"/>
        <v>3.7233860595068968E-3</v>
      </c>
      <c r="J40" s="13">
        <f t="shared" si="3"/>
        <v>2.8247403536023399E-5</v>
      </c>
      <c r="K40" s="7">
        <f t="shared" si="4"/>
        <v>131.81339144174899</v>
      </c>
      <c r="L40" s="31"/>
      <c r="M40" s="18">
        <f>L32/I40</f>
        <v>248429.78547395155</v>
      </c>
      <c r="N40" s="13">
        <f t="shared" si="5"/>
        <v>0.14893544238027587</v>
      </c>
      <c r="O40" s="7">
        <f t="shared" si="6"/>
        <v>885.03709617480263</v>
      </c>
    </row>
    <row r="41" spans="1:15" x14ac:dyDescent="0.55000000000000004">
      <c r="A41" s="12">
        <v>5</v>
      </c>
      <c r="B41" s="12">
        <v>-3.5</v>
      </c>
      <c r="C41" s="1">
        <v>4.6274624020732302</v>
      </c>
      <c r="D41" s="1">
        <v>-2.8247403660164698</v>
      </c>
      <c r="E41" s="4">
        <f t="shared" si="0"/>
        <v>8.1274624020732311</v>
      </c>
      <c r="F41" s="4">
        <f t="shared" si="1"/>
        <v>0.67525963398353017</v>
      </c>
      <c r="G41" s="12">
        <v>100</v>
      </c>
      <c r="H41" s="13">
        <v>100000</v>
      </c>
      <c r="I41" s="13">
        <f t="shared" si="2"/>
        <v>3.7253759792676977E-3</v>
      </c>
      <c r="J41" s="13">
        <f t="shared" si="3"/>
        <v>2.8247403660164697E-5</v>
      </c>
      <c r="K41" s="7">
        <f t="shared" si="4"/>
        <v>131.88383697441654</v>
      </c>
      <c r="L41" s="31"/>
      <c r="M41" s="18">
        <f>L32/I41</f>
        <v>248297.08602508053</v>
      </c>
      <c r="N41" s="13">
        <f t="shared" si="5"/>
        <v>0.14901503917070791</v>
      </c>
      <c r="O41" s="7">
        <f t="shared" si="6"/>
        <v>885.03709228525383</v>
      </c>
    </row>
    <row r="42" spans="1:15" x14ac:dyDescent="0.55000000000000004">
      <c r="A42" s="8">
        <v>0.5</v>
      </c>
      <c r="B42" s="8">
        <v>-3</v>
      </c>
      <c r="C42" s="1">
        <v>0.19488753426286201</v>
      </c>
      <c r="D42" s="1">
        <v>-2.33323658943611</v>
      </c>
      <c r="E42" s="2">
        <f t="shared" si="0"/>
        <v>3.194887534262862</v>
      </c>
      <c r="F42" s="2">
        <f t="shared" si="1"/>
        <v>0.66676341056388999</v>
      </c>
      <c r="G42" s="8">
        <v>100</v>
      </c>
      <c r="H42" s="9">
        <v>100000</v>
      </c>
      <c r="I42" s="9">
        <f t="shared" si="2"/>
        <v>3.0511246573713801E-3</v>
      </c>
      <c r="J42" s="9">
        <f t="shared" si="3"/>
        <v>2.3332365894361101E-5</v>
      </c>
      <c r="K42" s="5">
        <f t="shared" si="4"/>
        <v>130.76790717176124</v>
      </c>
      <c r="L42" s="33">
        <f>0.003/(3*10^-6)</f>
        <v>1000</v>
      </c>
      <c r="M42" s="16">
        <f>L42/I42</f>
        <v>327747.99862209661</v>
      </c>
      <c r="N42" s="9">
        <f t="shared" si="5"/>
        <v>0.1220449862948552</v>
      </c>
      <c r="O42" s="5">
        <f t="shared" si="6"/>
        <v>1071.4729964886214</v>
      </c>
    </row>
    <row r="43" spans="1:15" x14ac:dyDescent="0.55000000000000004">
      <c r="A43" s="8">
        <v>1</v>
      </c>
      <c r="B43" s="8">
        <v>-3</v>
      </c>
      <c r="C43" s="1">
        <v>0.69472382974563296</v>
      </c>
      <c r="D43" s="1">
        <v>-2.3332365892303</v>
      </c>
      <c r="E43" s="2">
        <f t="shared" si="0"/>
        <v>3.6947238297456328</v>
      </c>
      <c r="F43" s="2">
        <f t="shared" si="1"/>
        <v>0.66676341076970003</v>
      </c>
      <c r="G43" s="8">
        <v>100</v>
      </c>
      <c r="H43" s="9">
        <v>100000</v>
      </c>
      <c r="I43" s="9">
        <f t="shared" si="2"/>
        <v>3.0527617025436706E-3</v>
      </c>
      <c r="J43" s="9">
        <f t="shared" si="3"/>
        <v>2.3332365892303001E-5</v>
      </c>
      <c r="K43" s="5">
        <f t="shared" si="4"/>
        <v>130.83806917114785</v>
      </c>
      <c r="L43" s="31"/>
      <c r="M43" s="16">
        <f>L42/I43</f>
        <v>327572.2435743229</v>
      </c>
      <c r="N43" s="9">
        <f t="shared" si="5"/>
        <v>0.12211046810174682</v>
      </c>
      <c r="O43" s="5">
        <f t="shared" si="6"/>
        <v>1071.4729965831339</v>
      </c>
    </row>
    <row r="44" spans="1:15" x14ac:dyDescent="0.55000000000000004">
      <c r="A44" s="8">
        <v>1.5</v>
      </c>
      <c r="B44" s="8">
        <v>-3</v>
      </c>
      <c r="C44" s="1">
        <v>1.19456012522642</v>
      </c>
      <c r="D44" s="1">
        <v>-2.3332365890239699</v>
      </c>
      <c r="E44" s="2">
        <f t="shared" si="0"/>
        <v>4.1945601252264204</v>
      </c>
      <c r="F44" s="2">
        <f t="shared" si="1"/>
        <v>0.66676341097603009</v>
      </c>
      <c r="G44" s="8">
        <v>100</v>
      </c>
      <c r="H44" s="9">
        <v>100000</v>
      </c>
      <c r="I44" s="9">
        <f t="shared" si="2"/>
        <v>3.0543987477358002E-3</v>
      </c>
      <c r="J44" s="9">
        <f t="shared" si="3"/>
        <v>2.3332365890239699E-5</v>
      </c>
      <c r="K44" s="5">
        <f t="shared" si="4"/>
        <v>130.90823117142628</v>
      </c>
      <c r="L44" s="31"/>
      <c r="M44" s="16">
        <f>L42/I44</f>
        <v>327396.67692088056</v>
      </c>
      <c r="N44" s="9">
        <f t="shared" si="5"/>
        <v>0.12217594990943201</v>
      </c>
      <c r="O44" s="5">
        <f t="shared" si="6"/>
        <v>1071.472996677885</v>
      </c>
    </row>
    <row r="45" spans="1:15" x14ac:dyDescent="0.55000000000000004">
      <c r="A45" s="8">
        <v>2</v>
      </c>
      <c r="B45" s="8">
        <v>-3</v>
      </c>
      <c r="C45" s="1">
        <v>1.6943964207071101</v>
      </c>
      <c r="D45" s="1">
        <v>-2.3332365888174098</v>
      </c>
      <c r="E45" s="2">
        <f t="shared" si="0"/>
        <v>4.6943964207071103</v>
      </c>
      <c r="F45" s="2">
        <f t="shared" si="1"/>
        <v>0.66676341118259019</v>
      </c>
      <c r="G45" s="8">
        <v>100</v>
      </c>
      <c r="H45" s="9">
        <v>100000</v>
      </c>
      <c r="I45" s="9">
        <f t="shared" si="2"/>
        <v>3.0560357929288995E-3</v>
      </c>
      <c r="J45" s="9">
        <f t="shared" si="3"/>
        <v>2.3332365888174098E-5</v>
      </c>
      <c r="K45" s="5">
        <f t="shared" si="4"/>
        <v>130.97839317177164</v>
      </c>
      <c r="L45" s="31"/>
      <c r="M45" s="16">
        <f>L42/I45</f>
        <v>327221.29836103838</v>
      </c>
      <c r="N45" s="9">
        <f t="shared" si="5"/>
        <v>0.12224143171715597</v>
      </c>
      <c r="O45" s="5">
        <f t="shared" si="6"/>
        <v>1071.4729967727421</v>
      </c>
    </row>
    <row r="46" spans="1:15" x14ac:dyDescent="0.55000000000000004">
      <c r="A46" s="8">
        <v>2.5</v>
      </c>
      <c r="B46" s="8">
        <v>-3</v>
      </c>
      <c r="C46" s="1">
        <v>2.1942327161869799</v>
      </c>
      <c r="D46" s="1">
        <v>-2.33323658861049</v>
      </c>
      <c r="E46" s="2">
        <f t="shared" si="0"/>
        <v>5.1942327161869795</v>
      </c>
      <c r="F46" s="2">
        <f t="shared" si="1"/>
        <v>0.66676341138951001</v>
      </c>
      <c r="G46" s="8">
        <v>100</v>
      </c>
      <c r="H46" s="9">
        <v>100000</v>
      </c>
      <c r="I46" s="9">
        <f t="shared" si="2"/>
        <v>3.0576728381302011E-3</v>
      </c>
      <c r="J46" s="9">
        <f t="shared" si="3"/>
        <v>2.3332365886104901E-5</v>
      </c>
      <c r="K46" s="5">
        <f t="shared" si="4"/>
        <v>131.04855517250112</v>
      </c>
      <c r="L46" s="31"/>
      <c r="M46" s="16">
        <f>L42/I46</f>
        <v>327046.10759191308</v>
      </c>
      <c r="N46" s="9">
        <f t="shared" si="5"/>
        <v>0.12230691352520803</v>
      </c>
      <c r="O46" s="5">
        <f t="shared" si="6"/>
        <v>1071.4729968677641</v>
      </c>
    </row>
    <row r="47" spans="1:15" x14ac:dyDescent="0.55000000000000004">
      <c r="A47" s="8">
        <v>3</v>
      </c>
      <c r="B47" s="8">
        <v>-3</v>
      </c>
      <c r="C47" s="1">
        <v>2.6940690116685002</v>
      </c>
      <c r="D47" s="1">
        <v>-2.3332365884035799</v>
      </c>
      <c r="E47" s="2">
        <f t="shared" si="0"/>
        <v>5.6940690116684998</v>
      </c>
      <c r="F47" s="2">
        <f t="shared" si="1"/>
        <v>0.66676341159642005</v>
      </c>
      <c r="G47" s="8">
        <v>100</v>
      </c>
      <c r="H47" s="9">
        <v>100000</v>
      </c>
      <c r="I47" s="9">
        <f t="shared" si="2"/>
        <v>3.059309883314998E-3</v>
      </c>
      <c r="J47" s="9">
        <f t="shared" si="3"/>
        <v>2.33323658840358E-5</v>
      </c>
      <c r="K47" s="5">
        <f t="shared" si="4"/>
        <v>131.11871717253516</v>
      </c>
      <c r="L47" s="31"/>
      <c r="M47" s="16">
        <f>L42/I47</f>
        <v>326871.10431468388</v>
      </c>
      <c r="N47" s="9">
        <f t="shared" si="5"/>
        <v>0.12237239533259991</v>
      </c>
      <c r="O47" s="5">
        <f t="shared" si="6"/>
        <v>1071.4729969627817</v>
      </c>
    </row>
    <row r="48" spans="1:15" x14ac:dyDescent="0.55000000000000004">
      <c r="A48" s="8">
        <v>3.5</v>
      </c>
      <c r="B48" s="8">
        <v>-3</v>
      </c>
      <c r="C48" s="1">
        <v>3.1939053071459602</v>
      </c>
      <c r="D48" s="1">
        <v>-2.3332365881958501</v>
      </c>
      <c r="E48" s="2">
        <f t="shared" si="0"/>
        <v>6.1939053071459602</v>
      </c>
      <c r="F48" s="2">
        <f t="shared" si="1"/>
        <v>0.66676341180414989</v>
      </c>
      <c r="G48" s="8">
        <v>100</v>
      </c>
      <c r="H48" s="9">
        <v>100000</v>
      </c>
      <c r="I48" s="9">
        <f t="shared" si="2"/>
        <v>3.0609469285403979E-3</v>
      </c>
      <c r="J48" s="9">
        <f t="shared" si="3"/>
        <v>2.3332365881958502E-5</v>
      </c>
      <c r="K48" s="5">
        <f t="shared" si="4"/>
        <v>131.18887917436791</v>
      </c>
      <c r="L48" s="31"/>
      <c r="M48" s="16">
        <f>L42/I48</f>
        <v>326696.28822243138</v>
      </c>
      <c r="N48" s="9">
        <f t="shared" si="5"/>
        <v>0.12243787714161591</v>
      </c>
      <c r="O48" s="5">
        <f t="shared" si="6"/>
        <v>1071.4729970581757</v>
      </c>
    </row>
    <row r="49" spans="1:15" x14ac:dyDescent="0.55000000000000004">
      <c r="A49" s="8">
        <v>4</v>
      </c>
      <c r="B49" s="8">
        <v>-3</v>
      </c>
      <c r="C49" s="1">
        <v>3.69374160262484</v>
      </c>
      <c r="D49" s="1">
        <v>-2.3332365879880901</v>
      </c>
      <c r="E49" s="2">
        <f t="shared" si="0"/>
        <v>6.69374160262484</v>
      </c>
      <c r="F49" s="2">
        <f t="shared" si="1"/>
        <v>0.66676341201190992</v>
      </c>
      <c r="G49" s="8">
        <v>100</v>
      </c>
      <c r="H49" s="9">
        <v>100000</v>
      </c>
      <c r="I49" s="9">
        <f t="shared" si="2"/>
        <v>3.0625839737516004E-3</v>
      </c>
      <c r="J49" s="9">
        <f t="shared" si="3"/>
        <v>2.33323658798809E-5</v>
      </c>
      <c r="K49" s="5">
        <f t="shared" si="4"/>
        <v>131.25904117560637</v>
      </c>
      <c r="L49" s="31"/>
      <c r="M49" s="16">
        <f>L42/I49</f>
        <v>326521.65902083699</v>
      </c>
      <c r="N49" s="9">
        <f t="shared" si="5"/>
        <v>0.12250335895006401</v>
      </c>
      <c r="O49" s="5">
        <f t="shared" si="6"/>
        <v>1071.4729971535837</v>
      </c>
    </row>
    <row r="50" spans="1:15" x14ac:dyDescent="0.55000000000000004">
      <c r="A50" s="8">
        <v>4.5</v>
      </c>
      <c r="B50" s="8">
        <v>-3</v>
      </c>
      <c r="C50" s="1">
        <v>4.1935778981030696</v>
      </c>
      <c r="D50" s="1">
        <v>-2.3332365877799899</v>
      </c>
      <c r="E50" s="2">
        <f t="shared" si="0"/>
        <v>7.1935778981030696</v>
      </c>
      <c r="F50" s="2">
        <f t="shared" si="1"/>
        <v>0.66676341222001012</v>
      </c>
      <c r="G50" s="8">
        <v>100</v>
      </c>
      <c r="H50" s="9">
        <v>100000</v>
      </c>
      <c r="I50" s="9">
        <f t="shared" si="2"/>
        <v>3.0642210189693042E-3</v>
      </c>
      <c r="J50" s="9">
        <f t="shared" si="3"/>
        <v>2.3332365877799899E-5</v>
      </c>
      <c r="K50" s="5">
        <f t="shared" si="4"/>
        <v>131.32920317715511</v>
      </c>
      <c r="L50" s="31"/>
      <c r="M50" s="16">
        <f>L42/I50</f>
        <v>326347.21640815737</v>
      </c>
      <c r="N50" s="9">
        <f t="shared" si="5"/>
        <v>0.12256884075877217</v>
      </c>
      <c r="O50" s="5">
        <f t="shared" si="6"/>
        <v>1071.4729972491477</v>
      </c>
    </row>
    <row r="51" spans="1:15" x14ac:dyDescent="0.55000000000000004">
      <c r="A51" s="8">
        <v>5</v>
      </c>
      <c r="B51" s="8">
        <v>-3</v>
      </c>
      <c r="C51" s="1">
        <v>4.6934141935801597</v>
      </c>
      <c r="D51" s="1">
        <v>-2.3332365875715202</v>
      </c>
      <c r="E51" s="2">
        <f t="shared" si="0"/>
        <v>7.6934141935801597</v>
      </c>
      <c r="F51" s="2">
        <f t="shared" si="1"/>
        <v>0.66676341242847981</v>
      </c>
      <c r="G51" s="8">
        <v>100</v>
      </c>
      <c r="H51" s="9">
        <v>100000</v>
      </c>
      <c r="I51" s="9">
        <f t="shared" si="2"/>
        <v>3.0658580641984034E-3</v>
      </c>
      <c r="J51" s="9">
        <f t="shared" si="3"/>
        <v>2.3332365875715202E-5</v>
      </c>
      <c r="K51" s="5">
        <f t="shared" si="4"/>
        <v>131.39936517922558</v>
      </c>
      <c r="L51" s="31"/>
      <c r="M51" s="16">
        <f>L42/I51</f>
        <v>326172.96008498006</v>
      </c>
      <c r="N51" s="9">
        <f t="shared" si="5"/>
        <v>0.12263432256793613</v>
      </c>
      <c r="O51" s="5">
        <f t="shared" si="6"/>
        <v>1071.4729973448816</v>
      </c>
    </row>
    <row r="52" spans="1:15" x14ac:dyDescent="0.55000000000000004">
      <c r="A52" s="21">
        <v>0.5</v>
      </c>
      <c r="B52" s="21">
        <v>-2.5</v>
      </c>
      <c r="C52" s="1">
        <v>0.26195286459912798</v>
      </c>
      <c r="D52" s="1">
        <v>-1.84385362890983</v>
      </c>
      <c r="E52" s="25">
        <f t="shared" si="0"/>
        <v>2.7619528645991278</v>
      </c>
      <c r="F52" s="25">
        <f t="shared" si="1"/>
        <v>0.65614637109017004</v>
      </c>
      <c r="G52" s="21">
        <v>100</v>
      </c>
      <c r="H52" s="22">
        <v>100000</v>
      </c>
      <c r="I52" s="22">
        <f t="shared" si="2"/>
        <v>2.3804713540087202E-3</v>
      </c>
      <c r="J52" s="22">
        <f t="shared" si="3"/>
        <v>1.8438536289098299E-5</v>
      </c>
      <c r="K52" s="23">
        <f t="shared" si="4"/>
        <v>129.10305442282657</v>
      </c>
      <c r="L52" s="34">
        <f>0.0024/(3*10^-6)</f>
        <v>799.99999999999989</v>
      </c>
      <c r="M52" s="24">
        <f>L52/I52</f>
        <v>336067.89623945596</v>
      </c>
      <c r="N52" s="22">
        <f t="shared" si="5"/>
        <v>9.5218854160348809E-2</v>
      </c>
      <c r="O52" s="23">
        <f t="shared" si="6"/>
        <v>1355.8559968114789</v>
      </c>
    </row>
    <row r="53" spans="1:15" x14ac:dyDescent="0.55000000000000004">
      <c r="A53" s="21">
        <v>1</v>
      </c>
      <c r="B53" s="21">
        <v>-2.5</v>
      </c>
      <c r="C53" s="1">
        <v>0.76182523042035</v>
      </c>
      <c r="D53" s="1">
        <v>-1.8438536287417799</v>
      </c>
      <c r="E53" s="25">
        <f t="shared" si="0"/>
        <v>3.2618252304203499</v>
      </c>
      <c r="F53" s="25">
        <f t="shared" si="1"/>
        <v>0.65614637125822006</v>
      </c>
      <c r="G53" s="21">
        <v>100</v>
      </c>
      <c r="H53" s="22">
        <v>100000</v>
      </c>
      <c r="I53" s="22">
        <f t="shared" si="2"/>
        <v>2.3817476957964999E-3</v>
      </c>
      <c r="J53" s="22">
        <f t="shared" si="3"/>
        <v>1.84385362874178E-5</v>
      </c>
      <c r="K53" s="23">
        <f t="shared" si="4"/>
        <v>129.17227586127709</v>
      </c>
      <c r="L53" s="31"/>
      <c r="M53" s="24">
        <f>L52/I53</f>
        <v>335887.8026467305</v>
      </c>
      <c r="N53" s="22">
        <f t="shared" si="5"/>
        <v>9.5269907831859985E-2</v>
      </c>
      <c r="O53" s="23">
        <f t="shared" si="6"/>
        <v>1355.8559969350524</v>
      </c>
    </row>
    <row r="54" spans="1:15" x14ac:dyDescent="0.55000000000000004">
      <c r="A54" s="21">
        <v>1.5</v>
      </c>
      <c r="B54" s="21">
        <v>-2.5</v>
      </c>
      <c r="C54" s="1">
        <v>1.2616975962319099</v>
      </c>
      <c r="D54" s="1">
        <v>-1.8438536285444</v>
      </c>
      <c r="E54" s="25">
        <f t="shared" si="0"/>
        <v>3.7616975962319099</v>
      </c>
      <c r="F54" s="25">
        <f t="shared" si="1"/>
        <v>0.65614637145559995</v>
      </c>
      <c r="G54" s="21">
        <v>100</v>
      </c>
      <c r="H54" s="22">
        <v>100000</v>
      </c>
      <c r="I54" s="22">
        <f t="shared" si="2"/>
        <v>2.383024037680901E-3</v>
      </c>
      <c r="J54" s="22">
        <f t="shared" si="3"/>
        <v>1.8438536285443999E-5</v>
      </c>
      <c r="K54" s="23">
        <f t="shared" si="4"/>
        <v>129.24149730703627</v>
      </c>
      <c r="L54" s="31"/>
      <c r="M54" s="24">
        <f>L52/I54</f>
        <v>335707.90195576026</v>
      </c>
      <c r="N54" s="22">
        <f t="shared" si="5"/>
        <v>9.5320961507236041E-2</v>
      </c>
      <c r="O54" s="23">
        <f t="shared" si="6"/>
        <v>1355.8559970801934</v>
      </c>
    </row>
    <row r="55" spans="1:15" x14ac:dyDescent="0.55000000000000004">
      <c r="A55" s="21">
        <v>2</v>
      </c>
      <c r="B55" s="21">
        <v>-2.5</v>
      </c>
      <c r="C55" s="1">
        <v>1.7615699620326299</v>
      </c>
      <c r="D55" s="1">
        <v>-1.84385362831748</v>
      </c>
      <c r="E55" s="25">
        <f t="shared" si="0"/>
        <v>4.2615699620326302</v>
      </c>
      <c r="F55" s="25">
        <f t="shared" si="1"/>
        <v>0.65614637168251999</v>
      </c>
      <c r="G55" s="21">
        <v>100</v>
      </c>
      <c r="H55" s="22">
        <v>100000</v>
      </c>
      <c r="I55" s="22">
        <f t="shared" si="2"/>
        <v>2.3843003796737007E-3</v>
      </c>
      <c r="J55" s="22">
        <f t="shared" si="3"/>
        <v>1.8438536283174802E-5</v>
      </c>
      <c r="K55" s="23">
        <f t="shared" si="4"/>
        <v>129.31071876076081</v>
      </c>
      <c r="L55" s="31"/>
      <c r="M55" s="24">
        <f>L52/I55</f>
        <v>335528.1938551226</v>
      </c>
      <c r="N55" s="22">
        <f t="shared" si="5"/>
        <v>9.5372015186948017E-2</v>
      </c>
      <c r="O55" s="23">
        <f t="shared" si="6"/>
        <v>1355.8559972470564</v>
      </c>
    </row>
    <row r="56" spans="1:15" x14ac:dyDescent="0.55000000000000004">
      <c r="A56" s="21">
        <v>2.5</v>
      </c>
      <c r="B56" s="21">
        <v>-2.5</v>
      </c>
      <c r="C56" s="1">
        <v>2.2614423278242501</v>
      </c>
      <c r="D56" s="1">
        <v>-1.84385362806136</v>
      </c>
      <c r="E56" s="25">
        <f t="shared" si="0"/>
        <v>4.7614423278242501</v>
      </c>
      <c r="F56" s="25">
        <f t="shared" si="1"/>
        <v>0.65614637193864001</v>
      </c>
      <c r="G56" s="21">
        <v>100</v>
      </c>
      <c r="H56" s="22">
        <v>100000</v>
      </c>
      <c r="I56" s="22">
        <f t="shared" si="2"/>
        <v>2.3855767217574987E-3</v>
      </c>
      <c r="J56" s="22">
        <f t="shared" si="3"/>
        <v>1.8438536280613601E-5</v>
      </c>
      <c r="K56" s="23">
        <f t="shared" si="4"/>
        <v>129.37994022148655</v>
      </c>
      <c r="L56" s="31"/>
      <c r="M56" s="24">
        <f>L52/I56</f>
        <v>335348.67803816637</v>
      </c>
      <c r="N56" s="22">
        <f t="shared" si="5"/>
        <v>9.5423068870299943E-2</v>
      </c>
      <c r="O56" s="23">
        <f t="shared" si="6"/>
        <v>1355.8559974353911</v>
      </c>
    </row>
    <row r="57" spans="1:15" x14ac:dyDescent="0.55000000000000004">
      <c r="A57" s="21">
        <v>3</v>
      </c>
      <c r="B57" s="21">
        <v>-2.5</v>
      </c>
      <c r="C57" s="1">
        <v>2.7613146936065598</v>
      </c>
      <c r="D57" s="1">
        <v>-1.84385362777599</v>
      </c>
      <c r="E57" s="25">
        <f t="shared" si="0"/>
        <v>5.2613146936065593</v>
      </c>
      <c r="F57" s="25">
        <f t="shared" si="1"/>
        <v>0.65614637222400995</v>
      </c>
      <c r="G57" s="21">
        <v>100</v>
      </c>
      <c r="H57" s="22">
        <v>100000</v>
      </c>
      <c r="I57" s="22">
        <f t="shared" si="2"/>
        <v>2.386853063934402E-3</v>
      </c>
      <c r="J57" s="22">
        <f t="shared" si="3"/>
        <v>1.8438536277759899E-5</v>
      </c>
      <c r="K57" s="23">
        <f t="shared" si="4"/>
        <v>129.44916168933455</v>
      </c>
      <c r="L57" s="31"/>
      <c r="M57" s="24">
        <f>L52/I57</f>
        <v>335169.35419615183</v>
      </c>
      <c r="N57" s="22">
        <f t="shared" si="5"/>
        <v>9.547412255737607E-2</v>
      </c>
      <c r="O57" s="23">
        <f t="shared" si="6"/>
        <v>1355.8559976452348</v>
      </c>
    </row>
    <row r="58" spans="1:15" x14ac:dyDescent="0.55000000000000004">
      <c r="A58" s="21">
        <v>3.5</v>
      </c>
      <c r="B58" s="21">
        <v>-2.5</v>
      </c>
      <c r="C58" s="1">
        <v>3.2611870593787202</v>
      </c>
      <c r="D58" s="1">
        <v>-1.8438536274612201</v>
      </c>
      <c r="E58" s="25">
        <f t="shared" si="0"/>
        <v>5.7611870593787202</v>
      </c>
      <c r="F58" s="25">
        <f t="shared" si="1"/>
        <v>0.65614637253877994</v>
      </c>
      <c r="G58" s="21">
        <v>100</v>
      </c>
      <c r="H58" s="22">
        <v>100000</v>
      </c>
      <c r="I58" s="22">
        <f t="shared" si="2"/>
        <v>2.3881294062127979E-3</v>
      </c>
      <c r="J58" s="22">
        <f t="shared" si="3"/>
        <v>1.84385362746122E-5</v>
      </c>
      <c r="K58" s="23">
        <f t="shared" si="4"/>
        <v>129.5183831647735</v>
      </c>
      <c r="L58" s="31"/>
      <c r="M58" s="24">
        <f>L52/I58</f>
        <v>334990.2220201189</v>
      </c>
      <c r="N58" s="22">
        <f t="shared" si="5"/>
        <v>9.5525176248511909E-2</v>
      </c>
      <c r="O58" s="23">
        <f t="shared" si="6"/>
        <v>1355.8559978766971</v>
      </c>
    </row>
    <row r="59" spans="1:15" x14ac:dyDescent="0.55000000000000004">
      <c r="A59" s="21">
        <v>4</v>
      </c>
      <c r="B59" s="21">
        <v>-2.5</v>
      </c>
      <c r="C59" s="1">
        <v>3.7610594251404201</v>
      </c>
      <c r="D59" s="1">
        <v>-1.8438536271169901</v>
      </c>
      <c r="E59" s="25">
        <f t="shared" si="0"/>
        <v>6.2610594251404201</v>
      </c>
      <c r="F59" s="25">
        <f t="shared" si="1"/>
        <v>0.65614637288300992</v>
      </c>
      <c r="G59" s="21">
        <v>100</v>
      </c>
      <c r="H59" s="22">
        <v>100000</v>
      </c>
      <c r="I59" s="22">
        <f t="shared" si="2"/>
        <v>2.3894057485957989E-3</v>
      </c>
      <c r="J59" s="22">
        <f t="shared" si="3"/>
        <v>1.8438536271169902E-5</v>
      </c>
      <c r="K59" s="23">
        <f t="shared" si="4"/>
        <v>129.5876046479797</v>
      </c>
      <c r="L59" s="31"/>
      <c r="M59" s="24">
        <f>L52/I59</f>
        <v>334811.28120250913</v>
      </c>
      <c r="N59" s="22">
        <f t="shared" si="5"/>
        <v>9.5576229943831956E-2</v>
      </c>
      <c r="O59" s="23">
        <f t="shared" si="6"/>
        <v>1355.8559981298224</v>
      </c>
    </row>
    <row r="60" spans="1:15" x14ac:dyDescent="0.55000000000000004">
      <c r="A60" s="21">
        <v>4.5</v>
      </c>
      <c r="B60" s="21">
        <v>-2.5</v>
      </c>
      <c r="C60" s="1">
        <v>4.2609317908932098</v>
      </c>
      <c r="D60" s="1">
        <v>-1.8438536267435801</v>
      </c>
      <c r="E60" s="25">
        <f t="shared" si="0"/>
        <v>6.7609317908932098</v>
      </c>
      <c r="F60" s="25">
        <f t="shared" si="1"/>
        <v>0.65614637325641989</v>
      </c>
      <c r="G60" s="21">
        <v>100</v>
      </c>
      <c r="H60" s="22">
        <v>100000</v>
      </c>
      <c r="I60" s="22">
        <f t="shared" si="2"/>
        <v>2.3906820910679018E-3</v>
      </c>
      <c r="J60" s="22">
        <f t="shared" si="3"/>
        <v>1.8438536267435801E-5</v>
      </c>
      <c r="K60" s="23">
        <f t="shared" si="4"/>
        <v>129.65682613809602</v>
      </c>
      <c r="L60" s="31"/>
      <c r="M60" s="24">
        <f>L52/I60</f>
        <v>334632.53143902757</v>
      </c>
      <c r="N60" s="22">
        <f t="shared" si="5"/>
        <v>9.5627283642716068E-2</v>
      </c>
      <c r="O60" s="23">
        <f t="shared" si="6"/>
        <v>1355.8559984044052</v>
      </c>
    </row>
    <row r="61" spans="1:15" x14ac:dyDescent="0.55000000000000004">
      <c r="A61" s="21">
        <v>5</v>
      </c>
      <c r="B61" s="21">
        <v>-2.5</v>
      </c>
      <c r="C61" s="1">
        <v>4.7608041566366701</v>
      </c>
      <c r="D61" s="1">
        <v>-1.84385362634093</v>
      </c>
      <c r="E61" s="25">
        <f t="shared" si="0"/>
        <v>7.2608041566366701</v>
      </c>
      <c r="F61" s="25">
        <f t="shared" si="1"/>
        <v>0.65614637365907003</v>
      </c>
      <c r="G61" s="21">
        <v>100</v>
      </c>
      <c r="H61" s="22">
        <v>100000</v>
      </c>
      <c r="I61" s="22">
        <f t="shared" si="2"/>
        <v>2.391958433633299E-3</v>
      </c>
      <c r="J61" s="22">
        <f t="shared" si="3"/>
        <v>1.8438536263409301E-5</v>
      </c>
      <c r="K61" s="23">
        <f t="shared" si="4"/>
        <v>129.72604763535736</v>
      </c>
      <c r="L61" s="31"/>
      <c r="M61" s="24">
        <f>L52/I61</f>
        <v>334453.97242327017</v>
      </c>
      <c r="N61" s="22">
        <f t="shared" si="5"/>
        <v>9.567833734533196E-2</v>
      </c>
      <c r="O61" s="23">
        <f t="shared" si="6"/>
        <v>1355.855998700489</v>
      </c>
    </row>
    <row r="62" spans="1:15" x14ac:dyDescent="0.55000000000000004">
      <c r="A62" s="10">
        <v>0.5</v>
      </c>
      <c r="B62" s="10">
        <v>-2</v>
      </c>
      <c r="C62" s="1">
        <v>0.32996088543734797</v>
      </c>
      <c r="D62" s="1">
        <v>-1.35794475769621</v>
      </c>
      <c r="E62" s="3">
        <f t="shared" si="0"/>
        <v>2.3299608854373481</v>
      </c>
      <c r="F62" s="3">
        <f t="shared" si="1"/>
        <v>0.64205524230378996</v>
      </c>
      <c r="G62" s="10">
        <v>100</v>
      </c>
      <c r="H62" s="11">
        <v>100000</v>
      </c>
      <c r="I62" s="11">
        <f t="shared" si="2"/>
        <v>1.7003911456265203E-3</v>
      </c>
      <c r="J62" s="11">
        <f t="shared" si="3"/>
        <v>1.35794475769621E-5</v>
      </c>
      <c r="K62" s="6">
        <f t="shared" si="4"/>
        <v>125.21799108465058</v>
      </c>
      <c r="L62" s="30">
        <f>0.0017/(2*10^-6)</f>
        <v>850</v>
      </c>
      <c r="M62" s="17">
        <f>L62/I62</f>
        <v>499884.98363228771</v>
      </c>
      <c r="N62" s="11">
        <f t="shared" si="5"/>
        <v>6.8015645825060811E-2</v>
      </c>
      <c r="O62" s="6">
        <f t="shared" si="6"/>
        <v>1841.0174536417207</v>
      </c>
    </row>
    <row r="63" spans="1:15" x14ac:dyDescent="0.55000000000000004">
      <c r="A63" s="10">
        <v>1</v>
      </c>
      <c r="B63" s="10">
        <v>-2</v>
      </c>
      <c r="C63" s="1">
        <v>0.82986981380279601</v>
      </c>
      <c r="D63" s="1">
        <v>-1.3579447590842999</v>
      </c>
      <c r="E63" s="3">
        <f t="shared" si="0"/>
        <v>2.8298698138027962</v>
      </c>
      <c r="F63" s="3">
        <f t="shared" si="1"/>
        <v>0.6420552409157001</v>
      </c>
      <c r="G63" s="10">
        <v>100</v>
      </c>
      <c r="H63" s="11">
        <v>100000</v>
      </c>
      <c r="I63" s="11">
        <f t="shared" si="2"/>
        <v>1.7013018619720399E-3</v>
      </c>
      <c r="J63" s="11">
        <f t="shared" si="3"/>
        <v>1.3579447590842999E-5</v>
      </c>
      <c r="K63" s="6">
        <f t="shared" si="4"/>
        <v>125.28505674408106</v>
      </c>
      <c r="L63" s="31"/>
      <c r="M63" s="17">
        <f>L62/I63</f>
        <v>499617.39242131589</v>
      </c>
      <c r="N63" s="11">
        <f t="shared" si="5"/>
        <v>6.8052074478881591E-2</v>
      </c>
      <c r="O63" s="6">
        <f t="shared" si="6"/>
        <v>1841.0174517598346</v>
      </c>
    </row>
    <row r="64" spans="1:15" x14ac:dyDescent="0.55000000000000004">
      <c r="A64" s="10">
        <v>1.5</v>
      </c>
      <c r="B64" s="10">
        <v>-2</v>
      </c>
      <c r="C64" s="1">
        <v>1.32977874224924</v>
      </c>
      <c r="D64" s="1">
        <v>-1.35794475735987</v>
      </c>
      <c r="E64" s="3">
        <f t="shared" si="0"/>
        <v>3.32977874224924</v>
      </c>
      <c r="F64" s="3">
        <f t="shared" si="1"/>
        <v>0.64205524264013003</v>
      </c>
      <c r="G64" s="10">
        <v>100</v>
      </c>
      <c r="H64" s="11">
        <v>100000</v>
      </c>
      <c r="I64" s="11">
        <f t="shared" si="2"/>
        <v>1.7022125775076002E-3</v>
      </c>
      <c r="J64" s="11">
        <f t="shared" si="3"/>
        <v>1.35794475735987E-5</v>
      </c>
      <c r="K64" s="6">
        <f t="shared" si="4"/>
        <v>125.35212263104569</v>
      </c>
      <c r="L64" s="31"/>
      <c r="M64" s="17">
        <f>L62/I64</f>
        <v>499350.08778079884</v>
      </c>
      <c r="N64" s="11">
        <f t="shared" si="5"/>
        <v>6.8088503100303996E-2</v>
      </c>
      <c r="O64" s="6">
        <f t="shared" si="6"/>
        <v>1841.0174540977098</v>
      </c>
    </row>
    <row r="65" spans="1:15" x14ac:dyDescent="0.55000000000000004">
      <c r="A65" s="10">
        <v>2</v>
      </c>
      <c r="B65" s="10">
        <v>-2</v>
      </c>
      <c r="C65" s="1">
        <v>1.82968767077727</v>
      </c>
      <c r="D65" s="1">
        <v>-1.3579447525220001</v>
      </c>
      <c r="E65" s="3">
        <f t="shared" si="0"/>
        <v>3.82968767077727</v>
      </c>
      <c r="F65" s="3">
        <f t="shared" si="1"/>
        <v>0.64205524747799991</v>
      </c>
      <c r="G65" s="10">
        <v>100</v>
      </c>
      <c r="H65" s="11">
        <v>100000</v>
      </c>
      <c r="I65" s="11">
        <f t="shared" si="2"/>
        <v>1.7031232922272998E-3</v>
      </c>
      <c r="J65" s="11">
        <f t="shared" si="3"/>
        <v>1.357944752522E-5</v>
      </c>
      <c r="K65" s="6">
        <f t="shared" si="4"/>
        <v>125.4191887456561</v>
      </c>
      <c r="L65" s="31"/>
      <c r="M65" s="17">
        <f>L62/I65</f>
        <v>499083.06925236888</v>
      </c>
      <c r="N65" s="11">
        <f t="shared" si="5"/>
        <v>6.8124931689091991E-2</v>
      </c>
      <c r="O65" s="6">
        <f t="shared" si="6"/>
        <v>1841.0174606565945</v>
      </c>
    </row>
    <row r="66" spans="1:15" x14ac:dyDescent="0.55000000000000004">
      <c r="A66" s="10">
        <v>2.5</v>
      </c>
      <c r="B66" s="10">
        <v>-2</v>
      </c>
      <c r="C66" s="1">
        <v>2.3295965993892001</v>
      </c>
      <c r="D66" s="1">
        <v>-1.35794474457018</v>
      </c>
      <c r="E66" s="3">
        <f t="shared" ref="E66:E91" si="7">C66-B66</f>
        <v>4.3295965993892001</v>
      </c>
      <c r="F66" s="3">
        <f t="shared" ref="F66:F91" si="8">D66-B66</f>
        <v>0.64205525542982</v>
      </c>
      <c r="G66" s="10">
        <v>100</v>
      </c>
      <c r="H66" s="11">
        <v>100000</v>
      </c>
      <c r="I66" s="11">
        <f t="shared" ref="I66:I91" si="9">(A66-C66)/G66</f>
        <v>1.7040340061079994E-3</v>
      </c>
      <c r="J66" s="11">
        <f t="shared" ref="J66:J91" si="10">(0-D66)/H66</f>
        <v>1.3579447445701801E-5</v>
      </c>
      <c r="K66" s="6">
        <f t="shared" ref="K66:K91" si="11">I66/J66</f>
        <v>125.48625508671668</v>
      </c>
      <c r="L66" s="31"/>
      <c r="M66" s="17">
        <f>L62/I66</f>
        <v>498816.3363836814</v>
      </c>
      <c r="N66" s="11">
        <f t="shared" ref="N66:N91" si="12">I66/0.025</f>
        <v>6.8161360244319971E-2</v>
      </c>
      <c r="O66" s="6">
        <f t="shared" ref="O66:O91" si="13">0.025/J66</f>
        <v>1841.0174714371799</v>
      </c>
    </row>
    <row r="67" spans="1:15" x14ac:dyDescent="0.55000000000000004">
      <c r="A67" s="10">
        <v>3</v>
      </c>
      <c r="B67" s="10">
        <v>-2</v>
      </c>
      <c r="C67" s="1">
        <v>2.82950552742279</v>
      </c>
      <c r="D67" s="1">
        <v>-1.35794475841054</v>
      </c>
      <c r="E67" s="3">
        <f t="shared" si="7"/>
        <v>4.82950552742279</v>
      </c>
      <c r="F67" s="3">
        <f t="shared" si="8"/>
        <v>0.64205524158946004</v>
      </c>
      <c r="G67" s="10">
        <v>100</v>
      </c>
      <c r="H67" s="11">
        <v>100000</v>
      </c>
      <c r="I67" s="11">
        <f t="shared" si="9"/>
        <v>1.7049447257720994E-3</v>
      </c>
      <c r="J67" s="11">
        <f t="shared" si="10"/>
        <v>1.35794475841054E-5</v>
      </c>
      <c r="K67" s="6">
        <f t="shared" si="11"/>
        <v>125.55331983958753</v>
      </c>
      <c r="L67" s="31"/>
      <c r="M67" s="17">
        <f>L62/I67</f>
        <v>498549.88678009482</v>
      </c>
      <c r="N67" s="11">
        <f t="shared" si="12"/>
        <v>6.8197789030883971E-2</v>
      </c>
      <c r="O67" s="6">
        <f t="shared" si="13"/>
        <v>1841.0174526732765</v>
      </c>
    </row>
    <row r="68" spans="1:15" x14ac:dyDescent="0.55000000000000004">
      <c r="A68" s="10">
        <v>3.5</v>
      </c>
      <c r="B68" s="10">
        <v>-2</v>
      </c>
      <c r="C68" s="1">
        <v>3.3294144561886401</v>
      </c>
      <c r="D68" s="1">
        <v>-1.35794474420012</v>
      </c>
      <c r="E68" s="3">
        <f t="shared" si="7"/>
        <v>5.3294144561886405</v>
      </c>
      <c r="F68" s="3">
        <f t="shared" si="8"/>
        <v>0.64205525579987999</v>
      </c>
      <c r="G68" s="10">
        <v>100</v>
      </c>
      <c r="H68" s="11">
        <v>100000</v>
      </c>
      <c r="I68" s="11">
        <f t="shared" si="9"/>
        <v>1.7058554381135993E-3</v>
      </c>
      <c r="J68" s="11">
        <f t="shared" si="10"/>
        <v>1.35794474420012E-5</v>
      </c>
      <c r="K68" s="6">
        <f t="shared" si="11"/>
        <v>125.62038664676386</v>
      </c>
      <c r="L68" s="31"/>
      <c r="M68" s="17">
        <f>L62/I68</f>
        <v>498283.72381892032</v>
      </c>
      <c r="N68" s="11">
        <f t="shared" si="12"/>
        <v>6.8234217524543964E-2</v>
      </c>
      <c r="O68" s="6">
        <f t="shared" si="13"/>
        <v>1841.0174719388845</v>
      </c>
    </row>
    <row r="69" spans="1:15" x14ac:dyDescent="0.55000000000000004">
      <c r="A69" s="10">
        <v>4</v>
      </c>
      <c r="B69" s="10">
        <v>-2</v>
      </c>
      <c r="C69" s="1">
        <v>3.82932338423177</v>
      </c>
      <c r="D69" s="1">
        <v>-1.3579447580739501</v>
      </c>
      <c r="E69" s="3">
        <f t="shared" si="7"/>
        <v>5.8293233842317704</v>
      </c>
      <c r="F69" s="3">
        <f t="shared" si="8"/>
        <v>0.6420552419260499</v>
      </c>
      <c r="G69" s="10">
        <v>100</v>
      </c>
      <c r="H69" s="11">
        <v>100000</v>
      </c>
      <c r="I69" s="11">
        <f t="shared" si="9"/>
        <v>1.7067661576823001E-3</v>
      </c>
      <c r="J69" s="11">
        <f t="shared" si="10"/>
        <v>1.3579447580739501E-5</v>
      </c>
      <c r="K69" s="6">
        <f t="shared" si="11"/>
        <v>125.68745138816273</v>
      </c>
      <c r="L69" s="31"/>
      <c r="M69" s="17">
        <f>L62/I69</f>
        <v>498017.84279239277</v>
      </c>
      <c r="N69" s="11">
        <f t="shared" si="12"/>
        <v>6.8270646307292002E-2</v>
      </c>
      <c r="O69" s="6">
        <f t="shared" si="13"/>
        <v>1841.0174531296041</v>
      </c>
    </row>
    <row r="70" spans="1:15" x14ac:dyDescent="0.55000000000000004">
      <c r="A70" s="10">
        <v>4.5</v>
      </c>
      <c r="B70" s="10">
        <v>-2</v>
      </c>
      <c r="C70" s="1">
        <v>4.3292323130052104</v>
      </c>
      <c r="D70" s="1">
        <v>-1.35794474394625</v>
      </c>
      <c r="E70" s="3">
        <f t="shared" si="7"/>
        <v>6.3292323130052104</v>
      </c>
      <c r="F70" s="3">
        <f t="shared" si="8"/>
        <v>0.64205525605375002</v>
      </c>
      <c r="G70" s="10">
        <v>100</v>
      </c>
      <c r="H70" s="11">
        <v>100000</v>
      </c>
      <c r="I70" s="11">
        <f t="shared" si="9"/>
        <v>1.707676869947896E-3</v>
      </c>
      <c r="J70" s="11">
        <f t="shared" si="10"/>
        <v>1.35794474394625E-5</v>
      </c>
      <c r="K70" s="6">
        <f t="shared" si="11"/>
        <v>125.75451818350932</v>
      </c>
      <c r="L70" s="31"/>
      <c r="M70" s="17">
        <f>L62/I70</f>
        <v>497752.24748809467</v>
      </c>
      <c r="N70" s="11">
        <f t="shared" si="12"/>
        <v>6.830707479791584E-2</v>
      </c>
      <c r="O70" s="6">
        <f t="shared" si="13"/>
        <v>1841.0174722830657</v>
      </c>
    </row>
    <row r="71" spans="1:15" x14ac:dyDescent="0.55000000000000004">
      <c r="A71" s="10">
        <v>5</v>
      </c>
      <c r="B71" s="10">
        <v>-2</v>
      </c>
      <c r="C71" s="1">
        <v>4.8291412410376804</v>
      </c>
      <c r="D71" s="1">
        <v>-1.3579447577370201</v>
      </c>
      <c r="E71" s="3">
        <f t="shared" si="7"/>
        <v>6.8291412410376804</v>
      </c>
      <c r="F71" s="3">
        <f t="shared" si="8"/>
        <v>0.64205524226297994</v>
      </c>
      <c r="G71" s="10">
        <v>100</v>
      </c>
      <c r="H71" s="11">
        <v>100000</v>
      </c>
      <c r="I71" s="11">
        <f t="shared" si="9"/>
        <v>1.7085875896231961E-3</v>
      </c>
      <c r="J71" s="11">
        <f t="shared" si="10"/>
        <v>1.3579447577370201E-5</v>
      </c>
      <c r="K71" s="6">
        <f t="shared" si="11"/>
        <v>125.82158293909637</v>
      </c>
      <c r="L71" s="31"/>
      <c r="M71" s="17">
        <f>L62/I71</f>
        <v>497486.93316182581</v>
      </c>
      <c r="N71" s="11">
        <f t="shared" si="12"/>
        <v>6.8343503584927842E-2</v>
      </c>
      <c r="O71" s="6">
        <f t="shared" si="13"/>
        <v>1841.017453586393</v>
      </c>
    </row>
    <row r="72" spans="1:15" x14ac:dyDescent="0.55000000000000004">
      <c r="A72" s="12">
        <v>0.5</v>
      </c>
      <c r="B72" s="12">
        <v>-1.5</v>
      </c>
      <c r="C72" s="1">
        <v>0.39755829552444399</v>
      </c>
      <c r="D72" s="1">
        <v>-0.87868933130817495</v>
      </c>
      <c r="E72" s="4">
        <f t="shared" si="7"/>
        <v>1.8975582955244441</v>
      </c>
      <c r="F72" s="4">
        <f t="shared" si="8"/>
        <v>0.62131066869182505</v>
      </c>
      <c r="G72" s="12">
        <v>100</v>
      </c>
      <c r="H72" s="13">
        <v>100000</v>
      </c>
      <c r="I72" s="13">
        <f t="shared" si="9"/>
        <v>1.0244170447555601E-3</v>
      </c>
      <c r="J72" s="13">
        <f t="shared" si="10"/>
        <v>8.7868933130817491E-6</v>
      </c>
      <c r="K72" s="7">
        <f t="shared" si="11"/>
        <v>116.58466858023969</v>
      </c>
      <c r="L72" s="32">
        <f>0.001/(1*10^-6)</f>
        <v>1000.0000000000001</v>
      </c>
      <c r="M72" s="18">
        <f>L72/I72</f>
        <v>976164.93704340293</v>
      </c>
      <c r="N72" s="13">
        <f t="shared" si="12"/>
        <v>4.0976681790222402E-2</v>
      </c>
      <c r="O72" s="7">
        <f t="shared" si="13"/>
        <v>2845.1466416213916</v>
      </c>
    </row>
    <row r="73" spans="1:15" x14ac:dyDescent="0.55000000000000004">
      <c r="A73" s="12">
        <v>1</v>
      </c>
      <c r="B73" s="12">
        <v>-1.5</v>
      </c>
      <c r="C73" s="1">
        <v>0.89750352966848201</v>
      </c>
      <c r="D73" s="1">
        <v>-0.87868933112957104</v>
      </c>
      <c r="E73" s="4">
        <f t="shared" si="7"/>
        <v>2.3975035296684819</v>
      </c>
      <c r="F73" s="4">
        <f t="shared" si="8"/>
        <v>0.62131066887042896</v>
      </c>
      <c r="G73" s="12">
        <v>100</v>
      </c>
      <c r="H73" s="13">
        <v>100000</v>
      </c>
      <c r="I73" s="13">
        <f t="shared" si="9"/>
        <v>1.0249647033151799E-3</v>
      </c>
      <c r="J73" s="13">
        <f t="shared" si="10"/>
        <v>8.7868933112957107E-6</v>
      </c>
      <c r="K73" s="7">
        <f t="shared" si="11"/>
        <v>116.64699536041586</v>
      </c>
      <c r="L73" s="31"/>
      <c r="M73" s="18">
        <f>L72/I73</f>
        <v>975643.35314725165</v>
      </c>
      <c r="N73" s="13">
        <f t="shared" si="12"/>
        <v>4.0998588132607192E-2</v>
      </c>
      <c r="O73" s="7">
        <f t="shared" si="13"/>
        <v>2845.1466421997006</v>
      </c>
    </row>
    <row r="74" spans="1:15" x14ac:dyDescent="0.55000000000000004">
      <c r="A74" s="12">
        <v>1.5</v>
      </c>
      <c r="B74" s="12">
        <v>-1.5</v>
      </c>
      <c r="C74" s="1">
        <v>1.39744876381247</v>
      </c>
      <c r="D74" s="1">
        <v>-0.878689330950021</v>
      </c>
      <c r="E74" s="4">
        <f t="shared" si="7"/>
        <v>2.89744876381247</v>
      </c>
      <c r="F74" s="4">
        <f t="shared" si="8"/>
        <v>0.621310669049979</v>
      </c>
      <c r="G74" s="12">
        <v>100</v>
      </c>
      <c r="H74" s="13">
        <v>100000</v>
      </c>
      <c r="I74" s="13">
        <f t="shared" si="9"/>
        <v>1.0255123618753005E-3</v>
      </c>
      <c r="J74" s="13">
        <f t="shared" si="10"/>
        <v>8.7868933095002092E-6</v>
      </c>
      <c r="K74" s="7">
        <f t="shared" si="11"/>
        <v>116.70932214080004</v>
      </c>
      <c r="L74" s="31"/>
      <c r="M74" s="18">
        <f>L72/I74</f>
        <v>975122.32633778569</v>
      </c>
      <c r="N74" s="13">
        <f t="shared" si="12"/>
        <v>4.1020494475012013E-2</v>
      </c>
      <c r="O74" s="7">
        <f t="shared" si="13"/>
        <v>2845.1466427810742</v>
      </c>
    </row>
    <row r="75" spans="1:15" x14ac:dyDescent="0.55000000000000004">
      <c r="A75" s="12">
        <v>2</v>
      </c>
      <c r="B75" s="12">
        <v>-1.5</v>
      </c>
      <c r="C75" s="1">
        <v>1.8973939979568799</v>
      </c>
      <c r="D75" s="1">
        <v>-0.87868933076973799</v>
      </c>
      <c r="E75" s="4">
        <f t="shared" si="7"/>
        <v>3.3973939979568799</v>
      </c>
      <c r="F75" s="4">
        <f t="shared" si="8"/>
        <v>0.62131066923026201</v>
      </c>
      <c r="G75" s="12">
        <v>100</v>
      </c>
      <c r="H75" s="13">
        <v>100000</v>
      </c>
      <c r="I75" s="13">
        <f t="shared" si="9"/>
        <v>1.0260600204312009E-3</v>
      </c>
      <c r="J75" s="13">
        <f t="shared" si="10"/>
        <v>8.7868933076973792E-6</v>
      </c>
      <c r="K75" s="7">
        <f t="shared" si="11"/>
        <v>116.77164892082679</v>
      </c>
      <c r="L75" s="31"/>
      <c r="M75" s="18">
        <f>L72/I75</f>
        <v>974601.85572745628</v>
      </c>
      <c r="N75" s="13">
        <f t="shared" si="12"/>
        <v>4.1042400817248033E-2</v>
      </c>
      <c r="O75" s="7">
        <f t="shared" si="13"/>
        <v>2845.1466433648202</v>
      </c>
    </row>
    <row r="76" spans="1:15" x14ac:dyDescent="0.55000000000000004">
      <c r="A76" s="12">
        <v>2.5</v>
      </c>
      <c r="B76" s="12">
        <v>-1.5</v>
      </c>
      <c r="C76" s="1">
        <v>2.3973392321005602</v>
      </c>
      <c r="D76" s="1">
        <v>-0.87868933058825105</v>
      </c>
      <c r="E76" s="4">
        <f t="shared" si="7"/>
        <v>3.8973392321005602</v>
      </c>
      <c r="F76" s="4">
        <f t="shared" si="8"/>
        <v>0.62131066941174895</v>
      </c>
      <c r="G76" s="12">
        <v>100</v>
      </c>
      <c r="H76" s="13">
        <v>100000</v>
      </c>
      <c r="I76" s="13">
        <f t="shared" si="9"/>
        <v>1.0266076789943979E-3</v>
      </c>
      <c r="J76" s="13">
        <f t="shared" si="10"/>
        <v>8.7868933058825112E-6</v>
      </c>
      <c r="K76" s="7">
        <f t="shared" si="11"/>
        <v>116.8339757018696</v>
      </c>
      <c r="L76" s="31"/>
      <c r="M76" s="18">
        <f>L72/I76</f>
        <v>974081.9404151924</v>
      </c>
      <c r="N76" s="13">
        <f t="shared" si="12"/>
        <v>4.1064307159775916E-2</v>
      </c>
      <c r="O76" s="7">
        <f t="shared" si="13"/>
        <v>2845.1466439524643</v>
      </c>
    </row>
    <row r="77" spans="1:15" x14ac:dyDescent="0.55000000000000004">
      <c r="A77" s="12">
        <v>3</v>
      </c>
      <c r="B77" s="12">
        <v>-1.5</v>
      </c>
      <c r="C77" s="1">
        <v>2.8972844662441002</v>
      </c>
      <c r="D77" s="1">
        <v>-0.8786893304058</v>
      </c>
      <c r="E77" s="4">
        <f t="shared" si="7"/>
        <v>4.3972844662441002</v>
      </c>
      <c r="F77" s="4">
        <f t="shared" si="8"/>
        <v>0.6213106695942</v>
      </c>
      <c r="G77" s="12">
        <v>100</v>
      </c>
      <c r="H77" s="13">
        <v>100000</v>
      </c>
      <c r="I77" s="13">
        <f t="shared" si="9"/>
        <v>1.0271553375589982E-3</v>
      </c>
      <c r="J77" s="13">
        <f t="shared" si="10"/>
        <v>8.7868933040580005E-6</v>
      </c>
      <c r="K77" s="7">
        <f t="shared" si="11"/>
        <v>116.89630248322612</v>
      </c>
      <c r="L77" s="31"/>
      <c r="M77" s="18">
        <f>L72/I77</f>
        <v>973562.57951836975</v>
      </c>
      <c r="N77" s="13">
        <f t="shared" si="12"/>
        <v>4.1086213502359928E-2</v>
      </c>
      <c r="O77" s="7">
        <f t="shared" si="13"/>
        <v>2845.1466445432307</v>
      </c>
    </row>
    <row r="78" spans="1:15" x14ac:dyDescent="0.55000000000000004">
      <c r="A78" s="12">
        <v>3.5</v>
      </c>
      <c r="B78" s="12">
        <v>-1.5</v>
      </c>
      <c r="C78" s="1">
        <v>3.3972297003872001</v>
      </c>
      <c r="D78" s="1">
        <v>-0.87868933022225504</v>
      </c>
      <c r="E78" s="4">
        <f t="shared" si="7"/>
        <v>4.8972297003872001</v>
      </c>
      <c r="F78" s="4">
        <f t="shared" si="8"/>
        <v>0.62131066977774496</v>
      </c>
      <c r="G78" s="12">
        <v>100</v>
      </c>
      <c r="H78" s="13">
        <v>100000</v>
      </c>
      <c r="I78" s="13">
        <f t="shared" si="9"/>
        <v>1.0277029961279992E-3</v>
      </c>
      <c r="J78" s="13">
        <f t="shared" si="10"/>
        <v>8.7868933022225496E-6</v>
      </c>
      <c r="K78" s="7">
        <f t="shared" si="11"/>
        <v>116.95862926525497</v>
      </c>
      <c r="L78" s="31"/>
      <c r="M78" s="18">
        <f>L72/I78</f>
        <v>973043.77214781544</v>
      </c>
      <c r="N78" s="13">
        <f t="shared" si="12"/>
        <v>4.1108119845119966E-2</v>
      </c>
      <c r="O78" s="7">
        <f t="shared" si="13"/>
        <v>2845.1466451375395</v>
      </c>
    </row>
    <row r="79" spans="1:15" x14ac:dyDescent="0.55000000000000004">
      <c r="A79" s="12">
        <v>4</v>
      </c>
      <c r="B79" s="12">
        <v>-1.5</v>
      </c>
      <c r="C79" s="1">
        <v>3.8971749345309199</v>
      </c>
      <c r="D79" s="1">
        <v>-0.87868933003803795</v>
      </c>
      <c r="E79" s="4">
        <f t="shared" si="7"/>
        <v>5.3971749345309199</v>
      </c>
      <c r="F79" s="4">
        <f t="shared" si="8"/>
        <v>0.62131066996196205</v>
      </c>
      <c r="G79" s="12">
        <v>100</v>
      </c>
      <c r="H79" s="13">
        <v>100000</v>
      </c>
      <c r="I79" s="13">
        <f t="shared" si="9"/>
        <v>1.028250654690801E-3</v>
      </c>
      <c r="J79" s="13">
        <f t="shared" si="10"/>
        <v>8.78689330038038E-6</v>
      </c>
      <c r="K79" s="7">
        <f t="shared" si="11"/>
        <v>117.02095604669384</v>
      </c>
      <c r="L79" s="31"/>
      <c r="M79" s="18">
        <f>L72/I79</f>
        <v>972525.51742911758</v>
      </c>
      <c r="N79" s="13">
        <f t="shared" si="12"/>
        <v>4.1130026187632035E-2</v>
      </c>
      <c r="O79" s="7">
        <f t="shared" si="13"/>
        <v>2845.1466457340234</v>
      </c>
    </row>
    <row r="80" spans="1:15" x14ac:dyDescent="0.55000000000000004">
      <c r="A80" s="12">
        <v>4.5</v>
      </c>
      <c r="B80" s="12">
        <v>-1.5</v>
      </c>
      <c r="C80" s="1">
        <v>4.3971201686734602</v>
      </c>
      <c r="D80" s="1">
        <v>-0.87868932985246295</v>
      </c>
      <c r="E80" s="4">
        <f t="shared" si="7"/>
        <v>5.8971201686734602</v>
      </c>
      <c r="F80" s="4">
        <f t="shared" si="8"/>
        <v>0.62131067014753705</v>
      </c>
      <c r="G80" s="12">
        <v>100</v>
      </c>
      <c r="H80" s="13">
        <v>100000</v>
      </c>
      <c r="I80" s="13">
        <f t="shared" si="9"/>
        <v>1.0287983132653978E-3</v>
      </c>
      <c r="J80" s="13">
        <f t="shared" si="10"/>
        <v>8.7868932985246291E-6</v>
      </c>
      <c r="K80" s="7">
        <f t="shared" si="11"/>
        <v>117.08328282968215</v>
      </c>
      <c r="L80" s="31"/>
      <c r="M80" s="18">
        <f>L72/I80</f>
        <v>972007.81446268887</v>
      </c>
      <c r="N80" s="13">
        <f t="shared" si="12"/>
        <v>4.1151932530615908E-2</v>
      </c>
      <c r="O80" s="7">
        <f t="shared" si="13"/>
        <v>2845.1466463349052</v>
      </c>
    </row>
    <row r="81" spans="1:15" x14ac:dyDescent="0.55000000000000004">
      <c r="A81" s="12">
        <v>5</v>
      </c>
      <c r="B81" s="12">
        <v>-1.5</v>
      </c>
      <c r="C81" s="1">
        <v>4.8970654028166098</v>
      </c>
      <c r="D81" s="1">
        <v>-0.87868932966619095</v>
      </c>
      <c r="E81" s="4">
        <f t="shared" si="7"/>
        <v>6.3970654028166098</v>
      </c>
      <c r="F81" s="4">
        <f t="shared" si="8"/>
        <v>0.62131067033380905</v>
      </c>
      <c r="G81" s="12">
        <v>100</v>
      </c>
      <c r="H81" s="13">
        <v>100000</v>
      </c>
      <c r="I81" s="13">
        <f t="shared" si="9"/>
        <v>1.0293459718339016E-3</v>
      </c>
      <c r="J81" s="13">
        <f t="shared" si="10"/>
        <v>8.7868932966619087E-6</v>
      </c>
      <c r="K81" s="7">
        <f t="shared" si="11"/>
        <v>117.14560961209628</v>
      </c>
      <c r="L81" s="31"/>
      <c r="M81" s="18">
        <f>L72/I81</f>
        <v>971490.66238475859</v>
      </c>
      <c r="N81" s="13">
        <f t="shared" si="12"/>
        <v>4.1173838873356065E-2</v>
      </c>
      <c r="O81" s="7">
        <f t="shared" si="13"/>
        <v>2845.1466469380434</v>
      </c>
    </row>
    <row r="82" spans="1:15" x14ac:dyDescent="0.55000000000000004">
      <c r="A82" s="8">
        <v>0.5</v>
      </c>
      <c r="B82" s="8">
        <v>-1</v>
      </c>
      <c r="C82" s="1">
        <v>0.46042988574444599</v>
      </c>
      <c r="D82" s="1">
        <v>-0.41670570229817899</v>
      </c>
      <c r="E82" s="2">
        <f t="shared" si="7"/>
        <v>1.460429885744446</v>
      </c>
      <c r="F82" s="2">
        <f t="shared" si="8"/>
        <v>0.58329429770182095</v>
      </c>
      <c r="G82" s="8">
        <v>100</v>
      </c>
      <c r="H82" s="9">
        <v>100000</v>
      </c>
      <c r="I82" s="9">
        <f t="shared" si="9"/>
        <v>3.9570114255554011E-4</v>
      </c>
      <c r="J82" s="9">
        <f t="shared" si="10"/>
        <v>4.1670570229817896E-6</v>
      </c>
      <c r="K82" s="5">
        <f t="shared" si="11"/>
        <v>94.959377895047666</v>
      </c>
      <c r="L82" s="33">
        <f>0.0004/(4*10^-7)</f>
        <v>1000.0000000000001</v>
      </c>
      <c r="M82" s="16">
        <f>L82/I82</f>
        <v>2527159.7487481134</v>
      </c>
      <c r="N82" s="9">
        <f t="shared" si="12"/>
        <v>1.5828045702221603E-2</v>
      </c>
      <c r="O82" s="5">
        <f t="shared" si="13"/>
        <v>5999.4379395631449</v>
      </c>
    </row>
    <row r="83" spans="1:15" x14ac:dyDescent="0.55000000000000004">
      <c r="A83" s="8">
        <v>1</v>
      </c>
      <c r="B83" s="8">
        <v>-1</v>
      </c>
      <c r="C83" s="1">
        <v>0.96040881192349203</v>
      </c>
      <c r="D83" s="1">
        <v>-0.41670570200400397</v>
      </c>
      <c r="E83" s="2">
        <f t="shared" si="7"/>
        <v>1.9604088119234921</v>
      </c>
      <c r="F83" s="2">
        <f t="shared" si="8"/>
        <v>0.58329429799599608</v>
      </c>
      <c r="G83" s="8">
        <v>100</v>
      </c>
      <c r="H83" s="9">
        <v>100000</v>
      </c>
      <c r="I83" s="9">
        <f t="shared" si="9"/>
        <v>3.9591188076507967E-4</v>
      </c>
      <c r="J83" s="9">
        <f t="shared" si="10"/>
        <v>4.1670570200400399E-6</v>
      </c>
      <c r="K83" s="5">
        <f t="shared" si="11"/>
        <v>95.009950394505395</v>
      </c>
      <c r="L83" s="31"/>
      <c r="M83" s="16">
        <f>L82/I83</f>
        <v>2525814.577899382</v>
      </c>
      <c r="N83" s="9">
        <f t="shared" si="12"/>
        <v>1.5836475230603185E-2</v>
      </c>
      <c r="O83" s="5">
        <f t="shared" si="13"/>
        <v>5999.4379437984708</v>
      </c>
    </row>
    <row r="84" spans="1:15" x14ac:dyDescent="0.55000000000000004">
      <c r="A84" s="8">
        <v>1.5</v>
      </c>
      <c r="B84" s="8">
        <v>-1</v>
      </c>
      <c r="C84" s="1">
        <v>1.46038773810209</v>
      </c>
      <c r="D84" s="1">
        <v>-0.41670570170971699</v>
      </c>
      <c r="E84" s="2">
        <f t="shared" si="7"/>
        <v>2.46038773810209</v>
      </c>
      <c r="F84" s="2">
        <f t="shared" si="8"/>
        <v>0.58329429829028301</v>
      </c>
      <c r="G84" s="8">
        <v>100</v>
      </c>
      <c r="H84" s="9">
        <v>100000</v>
      </c>
      <c r="I84" s="9">
        <f t="shared" si="9"/>
        <v>3.9612261897910007E-4</v>
      </c>
      <c r="J84" s="9">
        <f t="shared" si="10"/>
        <v>4.1670570170971696E-6</v>
      </c>
      <c r="K84" s="5">
        <f t="shared" si="11"/>
        <v>95.060522895135392</v>
      </c>
      <c r="L84" s="31"/>
      <c r="M84" s="16">
        <f>L82/I84</f>
        <v>2524470.8382905074</v>
      </c>
      <c r="N84" s="9">
        <f t="shared" si="12"/>
        <v>1.5844904759164002E-2</v>
      </c>
      <c r="O84" s="5">
        <f t="shared" si="13"/>
        <v>5999.43794803541</v>
      </c>
    </row>
    <row r="85" spans="1:15" x14ac:dyDescent="0.55000000000000004">
      <c r="A85" s="8">
        <v>2</v>
      </c>
      <c r="B85" s="8">
        <v>-1</v>
      </c>
      <c r="C85" s="1">
        <v>1.9603666642805599</v>
      </c>
      <c r="D85" s="1">
        <v>-0.41670570141563401</v>
      </c>
      <c r="E85" s="2">
        <f t="shared" si="7"/>
        <v>2.9603666642805599</v>
      </c>
      <c r="F85" s="2">
        <f t="shared" si="8"/>
        <v>0.58329429858436599</v>
      </c>
      <c r="G85" s="8">
        <v>100</v>
      </c>
      <c r="H85" s="9">
        <v>100000</v>
      </c>
      <c r="I85" s="9">
        <f t="shared" si="9"/>
        <v>3.9633335719440054E-4</v>
      </c>
      <c r="J85" s="9">
        <f t="shared" si="10"/>
        <v>4.1670570141563398E-6</v>
      </c>
      <c r="K85" s="5">
        <f t="shared" si="11"/>
        <v>95.111095396097426</v>
      </c>
      <c r="L85" s="31"/>
      <c r="M85" s="16">
        <f>L82/I85</f>
        <v>2523128.5276588579</v>
      </c>
      <c r="N85" s="9">
        <f t="shared" si="12"/>
        <v>1.5853334287776022E-2</v>
      </c>
      <c r="O85" s="5">
        <f t="shared" si="13"/>
        <v>5999.4379522694117</v>
      </c>
    </row>
    <row r="86" spans="1:15" x14ac:dyDescent="0.55000000000000004">
      <c r="A86" s="8">
        <v>2.5</v>
      </c>
      <c r="B86" s="8">
        <v>-1</v>
      </c>
      <c r="C86" s="1">
        <v>2.4603455904585498</v>
      </c>
      <c r="D86" s="1">
        <v>-0.41670570112140998</v>
      </c>
      <c r="E86" s="2">
        <f t="shared" si="7"/>
        <v>3.4603455904585498</v>
      </c>
      <c r="F86" s="2">
        <f t="shared" si="8"/>
        <v>0.58329429887859008</v>
      </c>
      <c r="G86" s="8">
        <v>100</v>
      </c>
      <c r="H86" s="9">
        <v>100000</v>
      </c>
      <c r="I86" s="9">
        <f t="shared" si="9"/>
        <v>3.9654409541450163E-4</v>
      </c>
      <c r="J86" s="9">
        <f t="shared" si="10"/>
        <v>4.1670570112140998E-6</v>
      </c>
      <c r="K86" s="5">
        <f t="shared" si="11"/>
        <v>95.161667898315088</v>
      </c>
      <c r="L86" s="31"/>
      <c r="M86" s="16">
        <f>L82/I86</f>
        <v>2521787.643703823</v>
      </c>
      <c r="N86" s="9">
        <f t="shared" si="12"/>
        <v>1.5861763816580065E-2</v>
      </c>
      <c r="O86" s="5">
        <f t="shared" si="13"/>
        <v>5999.4379565054442</v>
      </c>
    </row>
    <row r="87" spans="1:15" x14ac:dyDescent="0.55000000000000004">
      <c r="A87" s="8">
        <v>3</v>
      </c>
      <c r="B87" s="8">
        <v>-1</v>
      </c>
      <c r="C87" s="1">
        <v>2.9603245166362901</v>
      </c>
      <c r="D87" s="1">
        <v>-0.41670570082727498</v>
      </c>
      <c r="E87" s="2">
        <f t="shared" si="7"/>
        <v>3.9603245166362901</v>
      </c>
      <c r="F87" s="2">
        <f t="shared" si="8"/>
        <v>0.58329429917272502</v>
      </c>
      <c r="G87" s="8">
        <v>100</v>
      </c>
      <c r="H87" s="9">
        <v>100000</v>
      </c>
      <c r="I87" s="9">
        <f t="shared" si="9"/>
        <v>3.9675483363709851E-4</v>
      </c>
      <c r="J87" s="9">
        <f t="shared" si="10"/>
        <v>4.1670570082727499E-6</v>
      </c>
      <c r="K87" s="5">
        <f t="shared" si="11"/>
        <v>95.212240401182768</v>
      </c>
      <c r="L87" s="31"/>
      <c r="M87" s="16">
        <f>L82/I87</f>
        <v>2520448.1841667355</v>
      </c>
      <c r="N87" s="9">
        <f t="shared" si="12"/>
        <v>1.5870193345483938E-2</v>
      </c>
      <c r="O87" s="5">
        <f t="shared" si="13"/>
        <v>5999.4379607401943</v>
      </c>
    </row>
    <row r="88" spans="1:15" x14ac:dyDescent="0.55000000000000004">
      <c r="A88" s="8">
        <v>3.5</v>
      </c>
      <c r="B88" s="8">
        <v>-1</v>
      </c>
      <c r="C88" s="1">
        <v>3.4603034428136201</v>
      </c>
      <c r="D88" s="1">
        <v>-0.416705700533062</v>
      </c>
      <c r="E88" s="2">
        <f t="shared" si="7"/>
        <v>4.4603034428136201</v>
      </c>
      <c r="F88" s="2">
        <f t="shared" si="8"/>
        <v>0.583294299466938</v>
      </c>
      <c r="G88" s="8">
        <v>100</v>
      </c>
      <c r="H88" s="9">
        <v>100000</v>
      </c>
      <c r="I88" s="9">
        <f t="shared" si="9"/>
        <v>3.9696557186379877E-4</v>
      </c>
      <c r="J88" s="9">
        <f t="shared" si="10"/>
        <v>4.1670570053306199E-6</v>
      </c>
      <c r="K88" s="5">
        <f t="shared" si="11"/>
        <v>95.262812905124392</v>
      </c>
      <c r="L88" s="31"/>
      <c r="M88" s="16">
        <f>L82/I88</f>
        <v>2519110.1467688638</v>
      </c>
      <c r="N88" s="9">
        <f t="shared" si="12"/>
        <v>1.587862287455195E-2</v>
      </c>
      <c r="O88" s="5">
        <f t="shared" si="13"/>
        <v>5999.4379649760676</v>
      </c>
    </row>
    <row r="89" spans="1:15" x14ac:dyDescent="0.55000000000000004">
      <c r="A89" s="8">
        <v>4</v>
      </c>
      <c r="B89" s="8">
        <v>-1</v>
      </c>
      <c r="C89" s="1">
        <v>3.9602823689905602</v>
      </c>
      <c r="D89" s="1">
        <v>-0.41670570023876302</v>
      </c>
      <c r="E89" s="2">
        <f t="shared" si="7"/>
        <v>4.9602823689905602</v>
      </c>
      <c r="F89" s="2">
        <f t="shared" si="8"/>
        <v>0.58329429976123692</v>
      </c>
      <c r="G89" s="8">
        <v>100</v>
      </c>
      <c r="H89" s="9">
        <v>100000</v>
      </c>
      <c r="I89" s="9">
        <f t="shared" si="9"/>
        <v>3.9717631009439814E-4</v>
      </c>
      <c r="J89" s="9">
        <f t="shared" si="10"/>
        <v>4.1670570023876302E-6</v>
      </c>
      <c r="K89" s="5">
        <f t="shared" si="11"/>
        <v>95.313385410092792</v>
      </c>
      <c r="L89" s="31"/>
      <c r="M89" s="16">
        <f>L82/I89</f>
        <v>2517773.5292478218</v>
      </c>
      <c r="N89" s="9">
        <f t="shared" si="12"/>
        <v>1.5887052403775925E-2</v>
      </c>
      <c r="O89" s="5">
        <f t="shared" si="13"/>
        <v>5999.4379692131788</v>
      </c>
    </row>
    <row r="90" spans="1:15" x14ac:dyDescent="0.55000000000000004">
      <c r="A90" s="8">
        <v>4.5</v>
      </c>
      <c r="B90" s="8">
        <v>-1</v>
      </c>
      <c r="C90" s="1">
        <v>4.4602612951671903</v>
      </c>
      <c r="D90" s="1">
        <v>-0.416705699944526</v>
      </c>
      <c r="E90" s="2">
        <f t="shared" si="7"/>
        <v>5.4602612951671903</v>
      </c>
      <c r="F90" s="2">
        <f t="shared" si="8"/>
        <v>0.583294300055474</v>
      </c>
      <c r="G90" s="8">
        <v>100</v>
      </c>
      <c r="H90" s="9">
        <v>100000</v>
      </c>
      <c r="I90" s="9">
        <f t="shared" si="9"/>
        <v>3.9738704832809724E-4</v>
      </c>
      <c r="J90" s="9">
        <f t="shared" si="10"/>
        <v>4.1670569994452597E-6</v>
      </c>
      <c r="K90" s="5">
        <f t="shared" si="11"/>
        <v>95.363957915862315</v>
      </c>
      <c r="L90" s="31"/>
      <c r="M90" s="16">
        <f>L82/I90</f>
        <v>2516438.329349787</v>
      </c>
      <c r="N90" s="9">
        <f t="shared" si="12"/>
        <v>1.589548193312389E-2</v>
      </c>
      <c r="O90" s="5">
        <f t="shared" si="13"/>
        <v>5999.4379734493987</v>
      </c>
    </row>
    <row r="91" spans="1:15" x14ac:dyDescent="0.55000000000000004">
      <c r="A91" s="8">
        <v>5</v>
      </c>
      <c r="B91" s="8">
        <v>-1</v>
      </c>
      <c r="C91" s="1">
        <v>4.9602402213437102</v>
      </c>
      <c r="D91" s="1">
        <v>-0.41670569965047599</v>
      </c>
      <c r="E91" s="2">
        <f t="shared" si="7"/>
        <v>5.9602402213437102</v>
      </c>
      <c r="F91" s="2">
        <f t="shared" si="8"/>
        <v>0.58329430034952401</v>
      </c>
      <c r="G91" s="8">
        <v>100</v>
      </c>
      <c r="H91" s="9">
        <v>100000</v>
      </c>
      <c r="I91" s="9">
        <f t="shared" si="9"/>
        <v>3.9759778656289768E-4</v>
      </c>
      <c r="J91" s="9">
        <f t="shared" si="10"/>
        <v>4.1670569965047602E-6</v>
      </c>
      <c r="K91" s="5">
        <f t="shared" si="11"/>
        <v>95.414530421924709</v>
      </c>
      <c r="L91" s="31"/>
      <c r="M91" s="16">
        <f>L82/I91</f>
        <v>2515104.5448332895</v>
      </c>
      <c r="N91" s="9">
        <f t="shared" si="12"/>
        <v>1.5903911462515907E-2</v>
      </c>
      <c r="O91" s="5">
        <f t="shared" si="13"/>
        <v>5999.4379776829246</v>
      </c>
    </row>
    <row r="95" spans="1:15" x14ac:dyDescent="0.55000000000000004">
      <c r="A95" s="42"/>
      <c r="B95" s="42"/>
      <c r="C95" s="43"/>
      <c r="D95" s="43"/>
      <c r="E95" s="42"/>
      <c r="F95" s="42"/>
      <c r="G95" s="42"/>
      <c r="H95" s="42"/>
      <c r="I95" s="44"/>
      <c r="J95" s="44"/>
      <c r="K95" s="45"/>
      <c r="L95" s="45"/>
      <c r="M95" s="45"/>
      <c r="N95" s="44"/>
      <c r="O95" s="45"/>
    </row>
    <row r="96" spans="1:15" x14ac:dyDescent="0.55000000000000004">
      <c r="A96" s="42"/>
      <c r="B96" s="42"/>
      <c r="C96" s="42"/>
      <c r="D96" s="42"/>
      <c r="E96" s="43"/>
      <c r="F96" s="43"/>
      <c r="G96" s="42"/>
      <c r="H96" s="44"/>
      <c r="I96" s="44"/>
      <c r="J96" s="44"/>
      <c r="K96" s="45"/>
      <c r="L96" s="45"/>
      <c r="M96" s="46"/>
      <c r="N96" s="44"/>
      <c r="O96" s="45"/>
    </row>
    <row r="99" spans="2:16" x14ac:dyDescent="0.55000000000000004">
      <c r="B99" s="42"/>
      <c r="C99" s="42"/>
      <c r="D99" s="43"/>
      <c r="E99" s="43"/>
      <c r="F99" s="42"/>
      <c r="G99" s="42"/>
      <c r="H99" s="42"/>
      <c r="I99" s="42"/>
      <c r="J99" s="44"/>
      <c r="K99" s="44"/>
      <c r="L99" s="45"/>
      <c r="M99" s="45"/>
      <c r="N99" s="45"/>
      <c r="O99" s="44"/>
      <c r="P99" s="45"/>
    </row>
    <row r="100" spans="2:16" x14ac:dyDescent="0.55000000000000004">
      <c r="B100" s="42"/>
      <c r="C100" s="42"/>
      <c r="D100" s="42"/>
      <c r="E100" s="42"/>
      <c r="F100" s="43"/>
      <c r="G100" s="43"/>
      <c r="H100" s="42"/>
      <c r="I100" s="44"/>
      <c r="J100" s="44"/>
      <c r="K100" s="44"/>
      <c r="L100" s="45"/>
      <c r="M100" s="45"/>
      <c r="N100" s="46"/>
      <c r="O100" s="44"/>
      <c r="P100" s="45"/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"/>
  <sheetViews>
    <sheetView topLeftCell="A67" zoomScaleNormal="100" workbookViewId="0">
      <selection activeCell="B102" sqref="B102"/>
    </sheetView>
  </sheetViews>
  <sheetFormatPr defaultColWidth="9" defaultRowHeight="14.4" x14ac:dyDescent="0.55000000000000004"/>
  <cols>
    <col min="1" max="1" width="8.83984375" style="1" bestFit="1" customWidth="1"/>
    <col min="2" max="2" width="8.578125" style="1" bestFit="1" customWidth="1"/>
    <col min="3" max="4" width="14.05078125" style="1" bestFit="1" customWidth="1"/>
    <col min="5" max="5" width="10" style="1" bestFit="1" customWidth="1"/>
    <col min="6" max="6" width="12.26171875" style="1" bestFit="1" customWidth="1"/>
    <col min="7" max="8" width="9.05078125" style="1" bestFit="1" customWidth="1"/>
    <col min="9" max="9" width="8.26171875" style="14" bestFit="1" customWidth="1"/>
    <col min="10" max="10" width="9" style="1" bestFit="1" customWidth="1"/>
    <col min="11" max="11" width="8.26171875" style="15" bestFit="1" customWidth="1"/>
    <col min="12" max="12" width="10.578125" style="15" bestFit="1" customWidth="1"/>
    <col min="13" max="13" width="9" style="15" bestFit="1" customWidth="1"/>
    <col min="14" max="14" width="13.26171875" style="14" bestFit="1" customWidth="1"/>
    <col min="15" max="15" width="12.41796875" style="15" bestFit="1" customWidth="1"/>
    <col min="16" max="16384" width="9" style="1"/>
  </cols>
  <sheetData>
    <row r="1" spans="1:15" ht="14.7" x14ac:dyDescent="0.55000000000000004">
      <c r="A1" s="1" t="s">
        <v>14</v>
      </c>
      <c r="B1" s="1" t="s">
        <v>15</v>
      </c>
      <c r="C1" s="1" t="s">
        <v>0</v>
      </c>
      <c r="D1" s="1" t="s">
        <v>1</v>
      </c>
      <c r="E1" s="1" t="s">
        <v>9</v>
      </c>
      <c r="F1" s="1" t="s">
        <v>16</v>
      </c>
      <c r="G1" s="1" t="s">
        <v>2</v>
      </c>
      <c r="H1" s="1" t="s">
        <v>3</v>
      </c>
      <c r="I1" s="14" t="s">
        <v>4</v>
      </c>
      <c r="J1" s="1" t="s">
        <v>5</v>
      </c>
      <c r="K1" s="15" t="s">
        <v>6</v>
      </c>
      <c r="L1" s="15" t="s">
        <v>10</v>
      </c>
      <c r="M1" s="15" t="s">
        <v>13</v>
      </c>
      <c r="N1" s="14" t="s">
        <v>11</v>
      </c>
      <c r="O1" s="15" t="s">
        <v>12</v>
      </c>
    </row>
    <row r="2" spans="1:15" x14ac:dyDescent="0.55000000000000004">
      <c r="A2" s="8">
        <v>0.5</v>
      </c>
      <c r="B2" s="8">
        <v>-5</v>
      </c>
      <c r="C2" s="47">
        <v>-0.20750000000000002</v>
      </c>
      <c r="D2" s="53">
        <v>-4.2661800000000003</v>
      </c>
      <c r="E2" s="8">
        <f>C2-B2</f>
        <v>4.7925000000000004</v>
      </c>
      <c r="F2" s="8">
        <f t="shared" ref="F2:F65" si="0">D2-B2</f>
        <v>0.73381999999999969</v>
      </c>
      <c r="G2" s="8">
        <v>100</v>
      </c>
      <c r="H2" s="9">
        <v>100000</v>
      </c>
      <c r="I2" s="9">
        <f t="shared" ref="I2:I65" si="1">(A2-C2)/G2</f>
        <v>7.0750000000000006E-3</v>
      </c>
      <c r="J2" s="9">
        <f t="shared" ref="J2:J65" si="2">(0-D2)/H2</f>
        <v>4.2661800000000005E-5</v>
      </c>
      <c r="K2" s="5">
        <f t="shared" ref="K2:K65" si="3">I2/J2</f>
        <v>165.839228537005</v>
      </c>
      <c r="L2" s="50">
        <f>0.0062/(0.0002)</f>
        <v>30.999999999999996</v>
      </c>
      <c r="M2" s="16">
        <f>L2/I2</f>
        <v>4381.6254416961119</v>
      </c>
      <c r="N2" s="9">
        <f>I2/0.025</f>
        <v>0.28300000000000003</v>
      </c>
      <c r="O2" s="5">
        <f>0.025/J2</f>
        <v>586.00434112015898</v>
      </c>
    </row>
    <row r="3" spans="1:15" x14ac:dyDescent="0.55000000000000004">
      <c r="A3" s="8">
        <v>1</v>
      </c>
      <c r="B3" s="8">
        <v>-5</v>
      </c>
      <c r="C3" s="48">
        <v>0.26414000000000004</v>
      </c>
      <c r="D3" s="54">
        <v>-4.2797999999999998</v>
      </c>
      <c r="E3" s="8">
        <f t="shared" ref="E3:E66" si="4">C3-B3</f>
        <v>5.2641400000000003</v>
      </c>
      <c r="F3" s="8">
        <f t="shared" si="0"/>
        <v>0.72020000000000017</v>
      </c>
      <c r="G3" s="8">
        <v>100</v>
      </c>
      <c r="H3" s="9">
        <v>100000</v>
      </c>
      <c r="I3" s="9">
        <f t="shared" si="1"/>
        <v>7.3585999999999999E-3</v>
      </c>
      <c r="J3" s="9">
        <f t="shared" si="2"/>
        <v>4.2797999999999999E-5</v>
      </c>
      <c r="K3" s="5">
        <f t="shared" si="3"/>
        <v>171.93794102528156</v>
      </c>
      <c r="L3" s="51"/>
      <c r="M3" s="16">
        <f>L2/I3</f>
        <v>4212.7578615497505</v>
      </c>
      <c r="N3" s="9">
        <f t="shared" ref="N3:N66" si="5">I3/0.025</f>
        <v>0.29434399999999999</v>
      </c>
      <c r="O3" s="5">
        <f t="shared" ref="O3:O66" si="6">0.025/J3</f>
        <v>584.13944576849394</v>
      </c>
    </row>
    <row r="4" spans="1:15" x14ac:dyDescent="0.55000000000000004">
      <c r="A4" s="8">
        <v>1.5</v>
      </c>
      <c r="B4" s="8">
        <v>-5</v>
      </c>
      <c r="C4" s="48">
        <v>0.75636000000000014</v>
      </c>
      <c r="D4" s="54">
        <v>-4.2850000000000001</v>
      </c>
      <c r="E4" s="8">
        <f t="shared" si="4"/>
        <v>5.7563599999999999</v>
      </c>
      <c r="F4" s="8">
        <f t="shared" si="0"/>
        <v>0.71499999999999986</v>
      </c>
      <c r="G4" s="8">
        <v>100</v>
      </c>
      <c r="H4" s="9">
        <v>100000</v>
      </c>
      <c r="I4" s="9">
        <f t="shared" si="1"/>
        <v>7.4363999999999984E-3</v>
      </c>
      <c r="J4" s="9">
        <f t="shared" si="2"/>
        <v>4.2850000000000005E-5</v>
      </c>
      <c r="K4" s="5">
        <f t="shared" si="3"/>
        <v>173.54492415402561</v>
      </c>
      <c r="L4" s="51"/>
      <c r="M4" s="16">
        <f>L2/I4</f>
        <v>4168.6837717174985</v>
      </c>
      <c r="N4" s="9">
        <f t="shared" si="5"/>
        <v>0.29745599999999994</v>
      </c>
      <c r="O4" s="5">
        <f t="shared" si="6"/>
        <v>583.43057176196032</v>
      </c>
    </row>
    <row r="5" spans="1:15" x14ac:dyDescent="0.55000000000000004">
      <c r="A5" s="8">
        <v>2</v>
      </c>
      <c r="B5" s="8">
        <v>-5</v>
      </c>
      <c r="C5" s="48">
        <v>1.2470600000000001</v>
      </c>
      <c r="D5" s="54">
        <v>-4.28742</v>
      </c>
      <c r="E5" s="8">
        <f t="shared" si="4"/>
        <v>6.2470600000000003</v>
      </c>
      <c r="F5" s="8">
        <f t="shared" si="0"/>
        <v>0.71257999999999999</v>
      </c>
      <c r="G5" s="8">
        <v>100</v>
      </c>
      <c r="H5" s="9">
        <v>100000</v>
      </c>
      <c r="I5" s="9">
        <f t="shared" si="1"/>
        <v>7.5293999999999995E-3</v>
      </c>
      <c r="J5" s="9">
        <f t="shared" si="2"/>
        <v>4.2874199999999997E-5</v>
      </c>
      <c r="K5" s="5">
        <f t="shared" si="3"/>
        <v>175.61610479029346</v>
      </c>
      <c r="L5" s="51"/>
      <c r="M5" s="16">
        <f>L2/I5</f>
        <v>4117.1939331155199</v>
      </c>
      <c r="N5" s="9">
        <f t="shared" si="5"/>
        <v>0.30117599999999994</v>
      </c>
      <c r="O5" s="5">
        <f t="shared" si="6"/>
        <v>583.10125903223854</v>
      </c>
    </row>
    <row r="6" spans="1:15" x14ac:dyDescent="0.55000000000000004">
      <c r="A6" s="8">
        <v>2.5</v>
      </c>
      <c r="B6" s="8">
        <v>-5</v>
      </c>
      <c r="C6" s="48">
        <v>1.7372000000000001</v>
      </c>
      <c r="D6" s="54">
        <v>-4.291500000000001</v>
      </c>
      <c r="E6" s="8">
        <f t="shared" si="4"/>
        <v>6.7371999999999996</v>
      </c>
      <c r="F6" s="8">
        <f t="shared" si="0"/>
        <v>0.70849999999999902</v>
      </c>
      <c r="G6" s="8">
        <v>100</v>
      </c>
      <c r="H6" s="9">
        <v>100000</v>
      </c>
      <c r="I6" s="9">
        <f t="shared" si="1"/>
        <v>7.6279999999999994E-3</v>
      </c>
      <c r="J6" s="9">
        <f t="shared" si="2"/>
        <v>4.2915000000000012E-5</v>
      </c>
      <c r="K6" s="5">
        <f t="shared" si="3"/>
        <v>177.74670861004304</v>
      </c>
      <c r="L6" s="51"/>
      <c r="M6" s="16">
        <f>L2/I6</f>
        <v>4063.9748295752488</v>
      </c>
      <c r="N6" s="9">
        <f t="shared" si="5"/>
        <v>0.30511999999999995</v>
      </c>
      <c r="O6" s="5">
        <f t="shared" si="6"/>
        <v>582.54689502504937</v>
      </c>
    </row>
    <row r="7" spans="1:15" x14ac:dyDescent="0.55000000000000004">
      <c r="A7" s="8">
        <v>3</v>
      </c>
      <c r="B7" s="8">
        <v>-5</v>
      </c>
      <c r="C7" s="48">
        <v>2.2258200000000001</v>
      </c>
      <c r="D7" s="54">
        <v>-4.2917800000000002</v>
      </c>
      <c r="E7" s="8">
        <f t="shared" si="4"/>
        <v>7.2258200000000006</v>
      </c>
      <c r="F7" s="8">
        <f t="shared" si="0"/>
        <v>0.70821999999999985</v>
      </c>
      <c r="G7" s="8">
        <v>100</v>
      </c>
      <c r="H7" s="9">
        <v>100000</v>
      </c>
      <c r="I7" s="9">
        <f t="shared" si="1"/>
        <v>7.7417999999999983E-3</v>
      </c>
      <c r="J7" s="9">
        <f t="shared" si="2"/>
        <v>4.2917800000000004E-5</v>
      </c>
      <c r="K7" s="5">
        <f t="shared" si="3"/>
        <v>180.38669270093055</v>
      </c>
      <c r="L7" s="51"/>
      <c r="M7" s="16">
        <f>L2/I7</f>
        <v>4004.2367408096311</v>
      </c>
      <c r="N7" s="9">
        <f t="shared" si="5"/>
        <v>0.30967199999999989</v>
      </c>
      <c r="O7" s="5">
        <f t="shared" si="6"/>
        <v>582.50888908564741</v>
      </c>
    </row>
    <row r="8" spans="1:15" x14ac:dyDescent="0.55000000000000004">
      <c r="A8" s="8">
        <v>3.5</v>
      </c>
      <c r="B8" s="8">
        <v>-5</v>
      </c>
      <c r="C8" s="48">
        <v>2.7186000000000003</v>
      </c>
      <c r="D8" s="54">
        <v>-4.2973600000000003</v>
      </c>
      <c r="E8" s="8">
        <f t="shared" si="4"/>
        <v>7.7186000000000003</v>
      </c>
      <c r="F8" s="8">
        <f t="shared" si="0"/>
        <v>0.70263999999999971</v>
      </c>
      <c r="G8" s="8">
        <v>100</v>
      </c>
      <c r="H8" s="9">
        <v>100000</v>
      </c>
      <c r="I8" s="9">
        <f t="shared" si="1"/>
        <v>7.8139999999999963E-3</v>
      </c>
      <c r="J8" s="9">
        <f t="shared" si="2"/>
        <v>4.2973600000000005E-5</v>
      </c>
      <c r="K8" s="5">
        <f t="shared" si="3"/>
        <v>181.83256697134973</v>
      </c>
      <c r="L8" s="51"/>
      <c r="M8" s="16">
        <f>L2/I8</f>
        <v>3967.2382902482736</v>
      </c>
      <c r="N8" s="9">
        <f t="shared" si="5"/>
        <v>0.31255999999999984</v>
      </c>
      <c r="O8" s="5">
        <f t="shared" si="6"/>
        <v>581.75251782489715</v>
      </c>
    </row>
    <row r="9" spans="1:15" x14ac:dyDescent="0.55000000000000004">
      <c r="A9" s="8">
        <v>4</v>
      </c>
      <c r="B9" s="8">
        <v>-5</v>
      </c>
      <c r="C9" s="48">
        <v>3.2108800000000004</v>
      </c>
      <c r="D9" s="54">
        <v>-4.2996600000000011</v>
      </c>
      <c r="E9" s="8">
        <f t="shared" si="4"/>
        <v>8.2108799999999995</v>
      </c>
      <c r="F9" s="8">
        <f t="shared" si="0"/>
        <v>0.70033999999999885</v>
      </c>
      <c r="G9" s="8">
        <v>100</v>
      </c>
      <c r="H9" s="9">
        <v>100000</v>
      </c>
      <c r="I9" s="9">
        <f t="shared" si="1"/>
        <v>7.8911999999999958E-3</v>
      </c>
      <c r="J9" s="9">
        <f t="shared" si="2"/>
        <v>4.2996600000000015E-5</v>
      </c>
      <c r="K9" s="5">
        <f t="shared" si="3"/>
        <v>183.53079080671478</v>
      </c>
      <c r="L9" s="51"/>
      <c r="M9" s="16">
        <f>L2/I9</f>
        <v>3928.4266017842679</v>
      </c>
      <c r="N9" s="9">
        <f t="shared" si="5"/>
        <v>0.31564799999999982</v>
      </c>
      <c r="O9" s="5">
        <f t="shared" si="6"/>
        <v>581.44132326742101</v>
      </c>
    </row>
    <row r="10" spans="1:15" x14ac:dyDescent="0.55000000000000004">
      <c r="A10" s="8">
        <v>4.5</v>
      </c>
      <c r="B10" s="8">
        <v>-5</v>
      </c>
      <c r="C10" s="48">
        <v>3.7036600000000006</v>
      </c>
      <c r="D10" s="54">
        <v>-4.3036600000000007</v>
      </c>
      <c r="E10" s="8">
        <f t="shared" si="4"/>
        <v>8.7036600000000011</v>
      </c>
      <c r="F10" s="8">
        <f t="shared" si="0"/>
        <v>0.69633999999999929</v>
      </c>
      <c r="G10" s="8">
        <v>100</v>
      </c>
      <c r="H10" s="9">
        <v>100000</v>
      </c>
      <c r="I10" s="9">
        <f t="shared" si="1"/>
        <v>7.9633999999999937E-3</v>
      </c>
      <c r="J10" s="9">
        <f t="shared" si="2"/>
        <v>4.3036600000000007E-5</v>
      </c>
      <c r="K10" s="5">
        <f t="shared" si="3"/>
        <v>185.03785150313902</v>
      </c>
      <c r="L10" s="51"/>
      <c r="M10" s="16">
        <f>L2/I10</f>
        <v>3892.8096039380189</v>
      </c>
      <c r="N10" s="9">
        <f t="shared" si="5"/>
        <v>0.31853599999999971</v>
      </c>
      <c r="O10" s="5">
        <f t="shared" si="6"/>
        <v>580.90090759957798</v>
      </c>
    </row>
    <row r="11" spans="1:15" x14ac:dyDescent="0.55000000000000004">
      <c r="A11" s="8">
        <v>5</v>
      </c>
      <c r="B11" s="8">
        <v>-5</v>
      </c>
      <c r="C11" s="49">
        <v>4.1904599999999999</v>
      </c>
      <c r="D11" s="55">
        <v>-4.3011200000000001</v>
      </c>
      <c r="E11" s="8">
        <f t="shared" si="4"/>
        <v>9.1904599999999999</v>
      </c>
      <c r="F11" s="8">
        <f t="shared" si="0"/>
        <v>0.69887999999999995</v>
      </c>
      <c r="G11" s="8">
        <v>100</v>
      </c>
      <c r="H11" s="9">
        <v>100000</v>
      </c>
      <c r="I11" s="9">
        <f t="shared" si="1"/>
        <v>8.0954000000000009E-3</v>
      </c>
      <c r="J11" s="9">
        <f t="shared" si="2"/>
        <v>4.3011199999999999E-5</v>
      </c>
      <c r="K11" s="5">
        <f t="shared" si="3"/>
        <v>188.21609255263746</v>
      </c>
      <c r="L11" s="52"/>
      <c r="M11" s="16">
        <f>L2/I11</f>
        <v>3829.3351780023213</v>
      </c>
      <c r="N11" s="9">
        <f t="shared" si="5"/>
        <v>0.32381599999999999</v>
      </c>
      <c r="O11" s="5">
        <f t="shared" si="6"/>
        <v>581.24395506286737</v>
      </c>
    </row>
    <row r="12" spans="1:15" x14ac:dyDescent="0.55000000000000004">
      <c r="A12" s="21">
        <v>0.5</v>
      </c>
      <c r="B12" s="21">
        <v>-4.5</v>
      </c>
      <c r="C12" s="47">
        <v>-0.17088</v>
      </c>
      <c r="D12" s="53">
        <v>-3.8144600000000004</v>
      </c>
      <c r="E12" s="21">
        <f t="shared" si="4"/>
        <v>4.3291199999999996</v>
      </c>
      <c r="F12" s="21">
        <f t="shared" si="0"/>
        <v>0.68553999999999959</v>
      </c>
      <c r="G12" s="21">
        <v>100</v>
      </c>
      <c r="H12" s="22">
        <v>100000</v>
      </c>
      <c r="I12" s="22">
        <f t="shared" si="1"/>
        <v>6.7088E-3</v>
      </c>
      <c r="J12" s="22">
        <f t="shared" si="2"/>
        <v>3.8144600000000001E-5</v>
      </c>
      <c r="K12" s="23">
        <f t="shared" si="3"/>
        <v>175.87810594422277</v>
      </c>
      <c r="L12" s="34">
        <f>0.0064/(7*10^(-5))</f>
        <v>91.428571428571416</v>
      </c>
      <c r="M12" s="24">
        <f>L12/I12</f>
        <v>13628.155769820447</v>
      </c>
      <c r="N12" s="22">
        <f t="shared" si="5"/>
        <v>0.26835199999999998</v>
      </c>
      <c r="O12" s="23">
        <f t="shared" si="6"/>
        <v>655.40076445945169</v>
      </c>
    </row>
    <row r="13" spans="1:15" x14ac:dyDescent="0.55000000000000004">
      <c r="A13" s="21">
        <v>1</v>
      </c>
      <c r="B13" s="21">
        <v>-4.5</v>
      </c>
      <c r="C13" s="48">
        <v>0.31752000000000002</v>
      </c>
      <c r="D13" s="54">
        <v>-3.7967799999999996</v>
      </c>
      <c r="E13" s="21">
        <f t="shared" si="4"/>
        <v>4.81752</v>
      </c>
      <c r="F13" s="21">
        <f t="shared" si="0"/>
        <v>0.7032200000000004</v>
      </c>
      <c r="G13" s="21">
        <v>100</v>
      </c>
      <c r="H13" s="22">
        <v>100000</v>
      </c>
      <c r="I13" s="22">
        <f t="shared" si="1"/>
        <v>6.8247999999999998E-3</v>
      </c>
      <c r="J13" s="22">
        <f t="shared" si="2"/>
        <v>3.7967799999999999E-5</v>
      </c>
      <c r="K13" s="23">
        <f t="shared" si="3"/>
        <v>179.7523164365594</v>
      </c>
      <c r="L13" s="36"/>
      <c r="M13" s="24">
        <f>L12/I13</f>
        <v>13396.520253864057</v>
      </c>
      <c r="N13" s="22">
        <f t="shared" si="5"/>
        <v>0.27299199999999996</v>
      </c>
      <c r="O13" s="23">
        <f t="shared" si="6"/>
        <v>658.45268885740029</v>
      </c>
    </row>
    <row r="14" spans="1:15" x14ac:dyDescent="0.55000000000000004">
      <c r="A14" s="21">
        <v>1.5</v>
      </c>
      <c r="B14" s="21">
        <v>-4.5</v>
      </c>
      <c r="C14" s="48">
        <v>0.81889999999999996</v>
      </c>
      <c r="D14" s="54">
        <v>-3.79698</v>
      </c>
      <c r="E14" s="21">
        <f t="shared" si="4"/>
        <v>5.3189000000000002</v>
      </c>
      <c r="F14" s="21">
        <f t="shared" si="0"/>
        <v>0.70301999999999998</v>
      </c>
      <c r="G14" s="21">
        <v>100</v>
      </c>
      <c r="H14" s="22">
        <v>100000</v>
      </c>
      <c r="I14" s="22">
        <f t="shared" si="1"/>
        <v>6.8110000000000002E-3</v>
      </c>
      <c r="J14" s="22">
        <f t="shared" si="2"/>
        <v>3.7969799999999997E-5</v>
      </c>
      <c r="K14" s="23">
        <f t="shared" si="3"/>
        <v>179.3794015243694</v>
      </c>
      <c r="L14" s="36"/>
      <c r="M14" s="24">
        <f>L12/I14</f>
        <v>13423.663401640202</v>
      </c>
      <c r="N14" s="22">
        <f t="shared" si="5"/>
        <v>0.27244000000000002</v>
      </c>
      <c r="O14" s="23">
        <f t="shared" si="6"/>
        <v>658.41800588889078</v>
      </c>
    </row>
    <row r="15" spans="1:15" x14ac:dyDescent="0.55000000000000004">
      <c r="A15" s="21">
        <v>2</v>
      </c>
      <c r="B15" s="21">
        <v>-4.5</v>
      </c>
      <c r="C15" s="48">
        <v>1.31674</v>
      </c>
      <c r="D15" s="54">
        <v>-3.7982400000000007</v>
      </c>
      <c r="E15" s="21">
        <f t="shared" si="4"/>
        <v>5.8167400000000002</v>
      </c>
      <c r="F15" s="21">
        <f t="shared" si="0"/>
        <v>0.70175999999999927</v>
      </c>
      <c r="G15" s="21">
        <v>100</v>
      </c>
      <c r="H15" s="22">
        <v>100000</v>
      </c>
      <c r="I15" s="22">
        <f t="shared" si="1"/>
        <v>6.8325999999999994E-3</v>
      </c>
      <c r="J15" s="22">
        <f t="shared" si="2"/>
        <v>3.7982400000000004E-5</v>
      </c>
      <c r="K15" s="23">
        <f t="shared" si="3"/>
        <v>179.8885799738826</v>
      </c>
      <c r="L15" s="36"/>
      <c r="M15" s="24">
        <f>L12/I15</f>
        <v>13381.226974880927</v>
      </c>
      <c r="N15" s="22">
        <f t="shared" si="5"/>
        <v>0.27330399999999994</v>
      </c>
      <c r="O15" s="23">
        <f t="shared" si="6"/>
        <v>658.19958717721886</v>
      </c>
    </row>
    <row r="16" spans="1:15" x14ac:dyDescent="0.55000000000000004">
      <c r="A16" s="21">
        <v>2.5</v>
      </c>
      <c r="B16" s="21">
        <v>-4.5</v>
      </c>
      <c r="C16" s="48">
        <v>1.8135600000000001</v>
      </c>
      <c r="D16" s="54">
        <v>-3.7997800000000006</v>
      </c>
      <c r="E16" s="21">
        <f t="shared" si="4"/>
        <v>6.3135599999999998</v>
      </c>
      <c r="F16" s="21">
        <f t="shared" si="0"/>
        <v>0.7002199999999994</v>
      </c>
      <c r="G16" s="21">
        <v>100</v>
      </c>
      <c r="H16" s="22">
        <v>100000</v>
      </c>
      <c r="I16" s="22">
        <f t="shared" si="1"/>
        <v>6.8643999999999997E-3</v>
      </c>
      <c r="J16" s="22">
        <f t="shared" si="2"/>
        <v>3.7997800000000004E-5</v>
      </c>
      <c r="K16" s="23">
        <f t="shared" si="3"/>
        <v>180.65256409581605</v>
      </c>
      <c r="L16" s="36"/>
      <c r="M16" s="24">
        <f>L12/I16</f>
        <v>13319.237140692765</v>
      </c>
      <c r="N16" s="22">
        <f t="shared" si="5"/>
        <v>0.27457599999999999</v>
      </c>
      <c r="O16" s="23">
        <f t="shared" si="6"/>
        <v>657.93282769002417</v>
      </c>
    </row>
    <row r="17" spans="1:15" x14ac:dyDescent="0.55000000000000004">
      <c r="A17" s="21">
        <v>3</v>
      </c>
      <c r="B17" s="21">
        <v>-4.5</v>
      </c>
      <c r="C17" s="48">
        <v>2.30782</v>
      </c>
      <c r="D17" s="54">
        <v>-3.7973399999999997</v>
      </c>
      <c r="E17" s="21">
        <f t="shared" si="4"/>
        <v>6.8078199999999995</v>
      </c>
      <c r="F17" s="21">
        <f t="shared" si="0"/>
        <v>0.70266000000000028</v>
      </c>
      <c r="G17" s="21">
        <v>100</v>
      </c>
      <c r="H17" s="22">
        <v>100000</v>
      </c>
      <c r="I17" s="22">
        <f t="shared" si="1"/>
        <v>6.9218000000000005E-3</v>
      </c>
      <c r="J17" s="22">
        <f t="shared" si="2"/>
        <v>3.7973399999999998E-5</v>
      </c>
      <c r="K17" s="23">
        <f t="shared" si="3"/>
        <v>182.28022773836426</v>
      </c>
      <c r="L17" s="36"/>
      <c r="M17" s="24">
        <f>L12/I17</f>
        <v>13208.785493451329</v>
      </c>
      <c r="N17" s="22">
        <f t="shared" si="5"/>
        <v>0.27687200000000001</v>
      </c>
      <c r="O17" s="23">
        <f t="shared" si="6"/>
        <v>658.35558575213179</v>
      </c>
    </row>
    <row r="18" spans="1:15" x14ac:dyDescent="0.55000000000000004">
      <c r="A18" s="21">
        <v>3.5</v>
      </c>
      <c r="B18" s="21">
        <v>-4.5</v>
      </c>
      <c r="C18" s="48">
        <v>2.8033600000000001</v>
      </c>
      <c r="D18" s="54">
        <v>-3.8002200000000004</v>
      </c>
      <c r="E18" s="21">
        <f t="shared" si="4"/>
        <v>7.3033599999999996</v>
      </c>
      <c r="F18" s="21">
        <f t="shared" si="0"/>
        <v>0.69977999999999962</v>
      </c>
      <c r="G18" s="21">
        <v>100</v>
      </c>
      <c r="H18" s="22">
        <v>100000</v>
      </c>
      <c r="I18" s="22">
        <f t="shared" si="1"/>
        <v>6.9663999999999993E-3</v>
      </c>
      <c r="J18" s="22">
        <f t="shared" si="2"/>
        <v>3.8002200000000007E-5</v>
      </c>
      <c r="K18" s="23">
        <f t="shared" si="3"/>
        <v>183.31570277510244</v>
      </c>
      <c r="L18" s="36"/>
      <c r="M18" s="24">
        <f>L12/I18</f>
        <v>13124.220749393004</v>
      </c>
      <c r="N18" s="22">
        <f t="shared" si="5"/>
        <v>0.27865599999999996</v>
      </c>
      <c r="O18" s="23">
        <f t="shared" si="6"/>
        <v>657.85665040445019</v>
      </c>
    </row>
    <row r="19" spans="1:15" x14ac:dyDescent="0.55000000000000004">
      <c r="A19" s="21">
        <v>4</v>
      </c>
      <c r="B19" s="21">
        <v>-4.5</v>
      </c>
      <c r="C19" s="48">
        <v>3.3049800000000005</v>
      </c>
      <c r="D19" s="54">
        <v>-3.8083600000000004</v>
      </c>
      <c r="E19" s="21">
        <f t="shared" si="4"/>
        <v>7.8049800000000005</v>
      </c>
      <c r="F19" s="21">
        <f t="shared" si="0"/>
        <v>0.69163999999999959</v>
      </c>
      <c r="G19" s="21">
        <v>100</v>
      </c>
      <c r="H19" s="22">
        <v>100000</v>
      </c>
      <c r="I19" s="22">
        <f t="shared" si="1"/>
        <v>6.9501999999999949E-3</v>
      </c>
      <c r="J19" s="22">
        <f t="shared" si="2"/>
        <v>3.8083600000000002E-5</v>
      </c>
      <c r="K19" s="23">
        <f t="shared" si="3"/>
        <v>182.4985032927558</v>
      </c>
      <c r="L19" s="36"/>
      <c r="M19" s="24">
        <f>L12/I19</f>
        <v>13154.811577878549</v>
      </c>
      <c r="N19" s="22">
        <f t="shared" si="5"/>
        <v>0.27800799999999976</v>
      </c>
      <c r="O19" s="23">
        <f t="shared" si="6"/>
        <v>656.45054564169357</v>
      </c>
    </row>
    <row r="20" spans="1:15" x14ac:dyDescent="0.55000000000000004">
      <c r="A20" s="21">
        <v>4.5</v>
      </c>
      <c r="B20" s="21">
        <v>-4.5</v>
      </c>
      <c r="C20" s="48">
        <v>3.7967600000000004</v>
      </c>
      <c r="D20" s="54">
        <v>-3.8069200000000003</v>
      </c>
      <c r="E20" s="21">
        <f t="shared" si="4"/>
        <v>8.2967600000000008</v>
      </c>
      <c r="F20" s="21">
        <f t="shared" si="0"/>
        <v>0.6930799999999997</v>
      </c>
      <c r="G20" s="21">
        <v>100</v>
      </c>
      <c r="H20" s="22">
        <v>100000</v>
      </c>
      <c r="I20" s="22">
        <f t="shared" si="1"/>
        <v>7.0323999999999968E-3</v>
      </c>
      <c r="J20" s="22">
        <f t="shared" si="2"/>
        <v>3.8069200000000005E-5</v>
      </c>
      <c r="K20" s="23">
        <f t="shared" si="3"/>
        <v>184.72676074096634</v>
      </c>
      <c r="L20" s="36"/>
      <c r="M20" s="24">
        <f>L12/I20</f>
        <v>13001.048209511897</v>
      </c>
      <c r="N20" s="22">
        <f t="shared" si="5"/>
        <v>0.28129599999999988</v>
      </c>
      <c r="O20" s="23">
        <f t="shared" si="6"/>
        <v>656.698853666481</v>
      </c>
    </row>
    <row r="21" spans="1:15" x14ac:dyDescent="0.55000000000000004">
      <c r="A21" s="21">
        <v>5</v>
      </c>
      <c r="B21" s="21">
        <v>-4.5</v>
      </c>
      <c r="C21" s="49">
        <v>4.2901000000000007</v>
      </c>
      <c r="D21" s="55">
        <v>-3.8100999999999998</v>
      </c>
      <c r="E21" s="21">
        <f t="shared" si="4"/>
        <v>8.7901000000000007</v>
      </c>
      <c r="F21" s="21">
        <f t="shared" si="0"/>
        <v>0.68990000000000018</v>
      </c>
      <c r="G21" s="21">
        <v>100</v>
      </c>
      <c r="H21" s="22">
        <v>100000</v>
      </c>
      <c r="I21" s="22">
        <f t="shared" si="1"/>
        <v>7.0989999999999933E-3</v>
      </c>
      <c r="J21" s="22">
        <f t="shared" si="2"/>
        <v>3.8101E-5</v>
      </c>
      <c r="K21" s="23">
        <f t="shared" si="3"/>
        <v>186.32056901393648</v>
      </c>
      <c r="L21" s="36"/>
      <c r="M21" s="24">
        <f>L12/I21</f>
        <v>12879.077536071489</v>
      </c>
      <c r="N21" s="22">
        <f t="shared" si="5"/>
        <v>0.28395999999999971</v>
      </c>
      <c r="O21" s="23">
        <f t="shared" si="6"/>
        <v>656.1507571979738</v>
      </c>
    </row>
    <row r="22" spans="1:15" x14ac:dyDescent="0.55000000000000004">
      <c r="A22" s="10">
        <v>0.5</v>
      </c>
      <c r="B22" s="10">
        <v>-4</v>
      </c>
      <c r="C22" s="47">
        <v>-7.1940000000000004E-2</v>
      </c>
      <c r="D22" s="53">
        <v>-3.3186</v>
      </c>
      <c r="E22" s="10">
        <f t="shared" si="4"/>
        <v>3.9280599999999999</v>
      </c>
      <c r="F22" s="10">
        <f t="shared" si="0"/>
        <v>0.68140000000000001</v>
      </c>
      <c r="G22" s="10">
        <v>100</v>
      </c>
      <c r="H22" s="11">
        <v>100000</v>
      </c>
      <c r="I22" s="11">
        <f t="shared" si="1"/>
        <v>5.7194000000000004E-3</v>
      </c>
      <c r="J22" s="11">
        <f t="shared" si="2"/>
        <v>3.3185999999999997E-5</v>
      </c>
      <c r="K22" s="6">
        <f t="shared" si="3"/>
        <v>172.34375941662148</v>
      </c>
      <c r="L22" s="30">
        <f>(0.0055/(6*10^(-5)))</f>
        <v>91.666666666666643</v>
      </c>
      <c r="M22" s="17">
        <f>L22/I22</f>
        <v>16027.32221328577</v>
      </c>
      <c r="N22" s="11">
        <f t="shared" si="5"/>
        <v>0.22877600000000001</v>
      </c>
      <c r="O22" s="6">
        <f t="shared" si="6"/>
        <v>753.3297173506902</v>
      </c>
    </row>
    <row r="23" spans="1:15" x14ac:dyDescent="0.55000000000000004">
      <c r="A23" s="10">
        <v>1</v>
      </c>
      <c r="B23" s="10">
        <v>-4</v>
      </c>
      <c r="C23" s="48">
        <v>0.41360000000000002</v>
      </c>
      <c r="D23" s="54">
        <v>-3.2993399999999999</v>
      </c>
      <c r="E23" s="10">
        <f t="shared" si="4"/>
        <v>4.4135999999999997</v>
      </c>
      <c r="F23" s="10">
        <f t="shared" si="0"/>
        <v>0.70066000000000006</v>
      </c>
      <c r="G23" s="10">
        <v>100</v>
      </c>
      <c r="H23" s="11">
        <v>100000</v>
      </c>
      <c r="I23" s="11">
        <f t="shared" si="1"/>
        <v>5.8640000000000003E-3</v>
      </c>
      <c r="J23" s="11">
        <f t="shared" si="2"/>
        <v>3.2993400000000002E-5</v>
      </c>
      <c r="K23" s="6">
        <f t="shared" si="3"/>
        <v>177.73251620020974</v>
      </c>
      <c r="L23" s="35"/>
      <c r="M23" s="17">
        <f>L22/I23</f>
        <v>15632.105502501132</v>
      </c>
      <c r="N23" s="11">
        <f t="shared" si="5"/>
        <v>0.23455999999999999</v>
      </c>
      <c r="O23" s="6">
        <f t="shared" si="6"/>
        <v>757.7273030363649</v>
      </c>
    </row>
    <row r="24" spans="1:15" x14ac:dyDescent="0.55000000000000004">
      <c r="A24" s="10">
        <v>1.5</v>
      </c>
      <c r="B24" s="10">
        <v>-4</v>
      </c>
      <c r="C24" s="48">
        <v>0.91510000000000002</v>
      </c>
      <c r="D24" s="54">
        <v>-3.3002799999999999</v>
      </c>
      <c r="E24" s="10">
        <f t="shared" si="4"/>
        <v>4.9150999999999998</v>
      </c>
      <c r="F24" s="10">
        <f t="shared" si="0"/>
        <v>0.69972000000000012</v>
      </c>
      <c r="G24" s="10">
        <v>100</v>
      </c>
      <c r="H24" s="11">
        <v>100000</v>
      </c>
      <c r="I24" s="11">
        <f t="shared" si="1"/>
        <v>5.849E-3</v>
      </c>
      <c r="J24" s="11">
        <f t="shared" si="2"/>
        <v>3.3002800000000002E-5</v>
      </c>
      <c r="K24" s="6">
        <f t="shared" si="3"/>
        <v>177.22738676718339</v>
      </c>
      <c r="L24" s="35"/>
      <c r="M24" s="17">
        <f>L22/I24</f>
        <v>15672.194677152786</v>
      </c>
      <c r="N24" s="11">
        <f t="shared" si="5"/>
        <v>0.23396</v>
      </c>
      <c r="O24" s="6">
        <f t="shared" si="6"/>
        <v>757.51148387409557</v>
      </c>
    </row>
    <row r="25" spans="1:15" x14ac:dyDescent="0.55000000000000004">
      <c r="A25" s="10">
        <v>2</v>
      </c>
      <c r="B25" s="10">
        <v>-4</v>
      </c>
      <c r="C25" s="48">
        <v>1.4198200000000001</v>
      </c>
      <c r="D25" s="54">
        <v>-3.3075000000000001</v>
      </c>
      <c r="E25" s="10">
        <f t="shared" si="4"/>
        <v>5.4198199999999996</v>
      </c>
      <c r="F25" s="10">
        <f t="shared" si="0"/>
        <v>0.69249999999999989</v>
      </c>
      <c r="G25" s="10">
        <v>100</v>
      </c>
      <c r="H25" s="11">
        <v>100000</v>
      </c>
      <c r="I25" s="11">
        <f t="shared" si="1"/>
        <v>5.8017999999999993E-3</v>
      </c>
      <c r="J25" s="11">
        <f t="shared" si="2"/>
        <v>3.3075000000000004E-5</v>
      </c>
      <c r="K25" s="6">
        <f t="shared" si="3"/>
        <v>175.41345427059707</v>
      </c>
      <c r="L25" s="35"/>
      <c r="M25" s="17">
        <f>L22/I25</f>
        <v>15799.694347731162</v>
      </c>
      <c r="N25" s="11">
        <f t="shared" si="5"/>
        <v>0.23207199999999997</v>
      </c>
      <c r="O25" s="6">
        <f t="shared" si="6"/>
        <v>755.85789871504153</v>
      </c>
    </row>
    <row r="26" spans="1:15" x14ac:dyDescent="0.55000000000000004">
      <c r="A26" s="10">
        <v>2.5</v>
      </c>
      <c r="B26" s="10">
        <v>-4</v>
      </c>
      <c r="C26" s="48">
        <v>1.9148800000000001</v>
      </c>
      <c r="D26" s="54">
        <v>-3.3064799999999996</v>
      </c>
      <c r="E26" s="10">
        <f t="shared" si="4"/>
        <v>5.9148800000000001</v>
      </c>
      <c r="F26" s="10">
        <f t="shared" si="0"/>
        <v>0.69352000000000036</v>
      </c>
      <c r="G26" s="10">
        <v>100</v>
      </c>
      <c r="H26" s="11">
        <v>100000</v>
      </c>
      <c r="I26" s="11">
        <f t="shared" si="1"/>
        <v>5.8511999999999982E-3</v>
      </c>
      <c r="J26" s="11">
        <f t="shared" si="2"/>
        <v>3.3064799999999996E-5</v>
      </c>
      <c r="K26" s="6">
        <f t="shared" si="3"/>
        <v>176.9616026711185</v>
      </c>
      <c r="L26" s="35"/>
      <c r="M26" s="17">
        <f>L22/I26</f>
        <v>15666.302069091242</v>
      </c>
      <c r="N26" s="11">
        <f t="shared" si="5"/>
        <v>0.23404799999999992</v>
      </c>
      <c r="O26" s="6">
        <f t="shared" si="6"/>
        <v>756.09106965715819</v>
      </c>
    </row>
    <row r="27" spans="1:15" x14ac:dyDescent="0.55000000000000004">
      <c r="A27" s="10">
        <v>3</v>
      </c>
      <c r="B27" s="10">
        <v>-4</v>
      </c>
      <c r="C27" s="48">
        <v>2.4132600000000002</v>
      </c>
      <c r="D27" s="54">
        <v>-3.3100200000000002</v>
      </c>
      <c r="E27" s="10">
        <f t="shared" si="4"/>
        <v>6.4132600000000002</v>
      </c>
      <c r="F27" s="10">
        <f t="shared" si="0"/>
        <v>0.68997999999999982</v>
      </c>
      <c r="G27" s="10">
        <v>100</v>
      </c>
      <c r="H27" s="11">
        <v>100000</v>
      </c>
      <c r="I27" s="11">
        <f t="shared" si="1"/>
        <v>5.8673999999999983E-3</v>
      </c>
      <c r="J27" s="11">
        <f t="shared" si="2"/>
        <v>3.3100199999999999E-5</v>
      </c>
      <c r="K27" s="6">
        <f t="shared" si="3"/>
        <v>177.26176881106454</v>
      </c>
      <c r="L27" s="35"/>
      <c r="M27" s="17">
        <f>L22/I27</f>
        <v>15623.047119110111</v>
      </c>
      <c r="N27" s="11">
        <f t="shared" si="5"/>
        <v>0.23469599999999993</v>
      </c>
      <c r="O27" s="6">
        <f t="shared" si="6"/>
        <v>755.2824454232906</v>
      </c>
    </row>
    <row r="28" spans="1:15" x14ac:dyDescent="0.55000000000000004">
      <c r="A28" s="10">
        <v>3.5</v>
      </c>
      <c r="B28" s="10">
        <v>-4</v>
      </c>
      <c r="C28" s="48">
        <v>2.9102600000000001</v>
      </c>
      <c r="D28" s="54">
        <v>-3.3087400000000002</v>
      </c>
      <c r="E28" s="10">
        <f t="shared" si="4"/>
        <v>6.9102600000000001</v>
      </c>
      <c r="F28" s="10">
        <f t="shared" si="0"/>
        <v>0.69125999999999976</v>
      </c>
      <c r="G28" s="10">
        <v>100</v>
      </c>
      <c r="H28" s="11">
        <v>100000</v>
      </c>
      <c r="I28" s="11">
        <f t="shared" si="1"/>
        <v>5.8973999999999997E-3</v>
      </c>
      <c r="J28" s="11">
        <f t="shared" si="2"/>
        <v>3.3087400000000004E-5</v>
      </c>
      <c r="K28" s="6">
        <f t="shared" si="3"/>
        <v>178.23703282820648</v>
      </c>
      <c r="L28" s="35"/>
      <c r="M28" s="17">
        <f>L22/I28</f>
        <v>15543.572873921838</v>
      </c>
      <c r="N28" s="11">
        <f t="shared" si="5"/>
        <v>0.23589599999999997</v>
      </c>
      <c r="O28" s="6">
        <f t="shared" si="6"/>
        <v>755.57462961731653</v>
      </c>
    </row>
    <row r="29" spans="1:15" x14ac:dyDescent="0.55000000000000004">
      <c r="A29" s="10">
        <v>4</v>
      </c>
      <c r="B29" s="10">
        <v>-4</v>
      </c>
      <c r="C29" s="48">
        <v>3.4094199999999999</v>
      </c>
      <c r="D29" s="54">
        <v>-3.3119999999999998</v>
      </c>
      <c r="E29" s="10">
        <f t="shared" si="4"/>
        <v>7.4094199999999999</v>
      </c>
      <c r="F29" s="10">
        <f t="shared" si="0"/>
        <v>0.68800000000000017</v>
      </c>
      <c r="G29" s="10">
        <v>100</v>
      </c>
      <c r="H29" s="11">
        <v>100000</v>
      </c>
      <c r="I29" s="11">
        <f t="shared" si="1"/>
        <v>5.905800000000001E-3</v>
      </c>
      <c r="J29" s="11">
        <f t="shared" si="2"/>
        <v>3.3120000000000001E-5</v>
      </c>
      <c r="K29" s="6">
        <f t="shared" si="3"/>
        <v>178.31521739130437</v>
      </c>
      <c r="L29" s="35"/>
      <c r="M29" s="17">
        <f>L22/I29</f>
        <v>15521.464774741209</v>
      </c>
      <c r="N29" s="11">
        <f t="shared" si="5"/>
        <v>0.23623200000000003</v>
      </c>
      <c r="O29" s="6">
        <f t="shared" si="6"/>
        <v>754.83091787439616</v>
      </c>
    </row>
    <row r="30" spans="1:15" x14ac:dyDescent="0.55000000000000004">
      <c r="A30" s="10">
        <v>4.5</v>
      </c>
      <c r="B30" s="10">
        <v>-4</v>
      </c>
      <c r="C30" s="48">
        <v>3.89852</v>
      </c>
      <c r="D30" s="54">
        <v>-3.3073800000000007</v>
      </c>
      <c r="E30" s="10">
        <f t="shared" si="4"/>
        <v>7.8985199999999995</v>
      </c>
      <c r="F30" s="10">
        <f t="shared" si="0"/>
        <v>0.69261999999999935</v>
      </c>
      <c r="G30" s="10">
        <v>100</v>
      </c>
      <c r="H30" s="11">
        <v>100000</v>
      </c>
      <c r="I30" s="11">
        <f t="shared" si="1"/>
        <v>6.0147999999999998E-3</v>
      </c>
      <c r="J30" s="11">
        <f t="shared" si="2"/>
        <v>3.3073800000000008E-5</v>
      </c>
      <c r="K30" s="6">
        <f t="shared" si="3"/>
        <v>181.85996166149636</v>
      </c>
      <c r="L30" s="35"/>
      <c r="M30" s="17">
        <f>L22/I30</f>
        <v>15240.185320653496</v>
      </c>
      <c r="N30" s="11">
        <f t="shared" si="5"/>
        <v>0.24059199999999997</v>
      </c>
      <c r="O30" s="6">
        <f t="shared" si="6"/>
        <v>755.88532312585778</v>
      </c>
    </row>
    <row r="31" spans="1:15" x14ac:dyDescent="0.55000000000000004">
      <c r="A31" s="10">
        <v>5</v>
      </c>
      <c r="B31" s="10">
        <v>-4</v>
      </c>
      <c r="C31" s="49">
        <v>4.3957199999999998</v>
      </c>
      <c r="D31" s="55">
        <v>-3.3120000000000003</v>
      </c>
      <c r="E31" s="10">
        <f t="shared" si="4"/>
        <v>8.3957200000000007</v>
      </c>
      <c r="F31" s="10">
        <f t="shared" si="0"/>
        <v>0.68799999999999972</v>
      </c>
      <c r="G31" s="10">
        <v>100</v>
      </c>
      <c r="H31" s="11">
        <v>100000</v>
      </c>
      <c r="I31" s="11">
        <f t="shared" si="1"/>
        <v>6.0428000000000018E-3</v>
      </c>
      <c r="J31" s="11">
        <f t="shared" si="2"/>
        <v>3.3120000000000001E-5</v>
      </c>
      <c r="K31" s="6">
        <f t="shared" si="3"/>
        <v>182.45169082125608</v>
      </c>
      <c r="L31" s="35"/>
      <c r="M31" s="17">
        <f>L22/I31</f>
        <v>15169.568191346167</v>
      </c>
      <c r="N31" s="11">
        <f t="shared" si="5"/>
        <v>0.24171200000000007</v>
      </c>
      <c r="O31" s="6">
        <f t="shared" si="6"/>
        <v>754.83091787439616</v>
      </c>
    </row>
    <row r="32" spans="1:15" x14ac:dyDescent="0.55000000000000004">
      <c r="A32" s="12">
        <v>0.5</v>
      </c>
      <c r="B32" s="12">
        <v>-3.5</v>
      </c>
      <c r="C32" s="47">
        <v>1.3240000000000002E-2</v>
      </c>
      <c r="D32" s="53">
        <v>-2.8085</v>
      </c>
      <c r="E32" s="12">
        <f t="shared" si="4"/>
        <v>3.5132400000000001</v>
      </c>
      <c r="F32" s="12">
        <f t="shared" si="0"/>
        <v>0.6915</v>
      </c>
      <c r="G32" s="12">
        <v>100</v>
      </c>
      <c r="H32" s="13">
        <v>100000</v>
      </c>
      <c r="I32" s="13">
        <f t="shared" si="1"/>
        <v>4.8675999999999997E-3</v>
      </c>
      <c r="J32" s="13">
        <f t="shared" si="2"/>
        <v>2.8085E-5</v>
      </c>
      <c r="K32" s="7">
        <f t="shared" si="3"/>
        <v>173.31671710877691</v>
      </c>
      <c r="L32" s="32">
        <f>0.0047/(5*10^(-5))</f>
        <v>94</v>
      </c>
      <c r="M32" s="18">
        <f>L32/I32</f>
        <v>19311.364943709428</v>
      </c>
      <c r="N32" s="13">
        <f t="shared" si="5"/>
        <v>0.19470399999999999</v>
      </c>
      <c r="O32" s="7">
        <f t="shared" si="6"/>
        <v>890.15488695032946</v>
      </c>
    </row>
    <row r="33" spans="1:15" x14ac:dyDescent="0.55000000000000004">
      <c r="A33" s="12">
        <v>1</v>
      </c>
      <c r="B33" s="12">
        <v>-3.5</v>
      </c>
      <c r="C33" s="48">
        <v>0.51395999999999997</v>
      </c>
      <c r="D33" s="54">
        <v>-2.8063000000000002</v>
      </c>
      <c r="E33" s="12">
        <f t="shared" si="4"/>
        <v>4.01396</v>
      </c>
      <c r="F33" s="12">
        <f t="shared" si="0"/>
        <v>0.69369999999999976</v>
      </c>
      <c r="G33" s="12">
        <v>100</v>
      </c>
      <c r="H33" s="13">
        <v>100000</v>
      </c>
      <c r="I33" s="13">
        <f t="shared" si="1"/>
        <v>4.8604E-3</v>
      </c>
      <c r="J33" s="13">
        <f t="shared" si="2"/>
        <v>2.8063000000000002E-5</v>
      </c>
      <c r="K33" s="7">
        <f t="shared" si="3"/>
        <v>173.19602323343904</v>
      </c>
      <c r="L33" s="37"/>
      <c r="M33" s="18">
        <f>L32/I33</f>
        <v>19339.972018763889</v>
      </c>
      <c r="N33" s="13">
        <f t="shared" si="5"/>
        <v>0.19441599999999998</v>
      </c>
      <c r="O33" s="7">
        <f t="shared" si="6"/>
        <v>890.85272422763069</v>
      </c>
    </row>
    <row r="34" spans="1:15" x14ac:dyDescent="0.55000000000000004">
      <c r="A34" s="12">
        <v>1.5</v>
      </c>
      <c r="B34" s="12">
        <v>-3.5</v>
      </c>
      <c r="C34" s="48">
        <v>1.01346</v>
      </c>
      <c r="D34" s="54">
        <v>-2.8047999999999997</v>
      </c>
      <c r="E34" s="12">
        <f t="shared" si="4"/>
        <v>4.5134600000000002</v>
      </c>
      <c r="F34" s="12">
        <f t="shared" si="0"/>
        <v>0.69520000000000026</v>
      </c>
      <c r="G34" s="12">
        <v>100</v>
      </c>
      <c r="H34" s="13">
        <v>100000</v>
      </c>
      <c r="I34" s="13">
        <f t="shared" si="1"/>
        <v>4.8653999999999998E-3</v>
      </c>
      <c r="J34" s="13">
        <f t="shared" si="2"/>
        <v>2.8047999999999996E-5</v>
      </c>
      <c r="K34" s="7">
        <f t="shared" si="3"/>
        <v>173.46691386195096</v>
      </c>
      <c r="L34" s="37"/>
      <c r="M34" s="18">
        <f>L32/I34</f>
        <v>19320.097011550952</v>
      </c>
      <c r="N34" s="13">
        <f t="shared" si="5"/>
        <v>0.19461599999999998</v>
      </c>
      <c r="O34" s="7">
        <f t="shared" si="6"/>
        <v>891.32915002852269</v>
      </c>
    </row>
    <row r="35" spans="1:15" x14ac:dyDescent="0.55000000000000004">
      <c r="A35" s="12">
        <v>2</v>
      </c>
      <c r="B35" s="12">
        <v>-3.5</v>
      </c>
      <c r="C35" s="48">
        <v>1.51294</v>
      </c>
      <c r="D35" s="54">
        <v>-2.8049400000000007</v>
      </c>
      <c r="E35" s="12">
        <f t="shared" si="4"/>
        <v>5.0129400000000004</v>
      </c>
      <c r="F35" s="12">
        <f t="shared" si="0"/>
        <v>0.69505999999999935</v>
      </c>
      <c r="G35" s="12">
        <v>100</v>
      </c>
      <c r="H35" s="13">
        <v>100000</v>
      </c>
      <c r="I35" s="13">
        <f t="shared" si="1"/>
        <v>4.8706000000000001E-3</v>
      </c>
      <c r="J35" s="13">
        <f t="shared" si="2"/>
        <v>2.8049400000000006E-5</v>
      </c>
      <c r="K35" s="7">
        <f t="shared" si="3"/>
        <v>173.64364300127627</v>
      </c>
      <c r="L35" s="37"/>
      <c r="M35" s="18">
        <f>L32/I35</f>
        <v>19299.470291134563</v>
      </c>
      <c r="N35" s="13">
        <f t="shared" si="5"/>
        <v>0.194824</v>
      </c>
      <c r="O35" s="7">
        <f t="shared" si="6"/>
        <v>891.28466206050734</v>
      </c>
    </row>
    <row r="36" spans="1:15" x14ac:dyDescent="0.55000000000000004">
      <c r="A36" s="12">
        <v>2.5</v>
      </c>
      <c r="B36" s="12">
        <v>-3.5</v>
      </c>
      <c r="C36" s="48">
        <v>2.0079199999999999</v>
      </c>
      <c r="D36" s="54">
        <v>-2.8034800000000004</v>
      </c>
      <c r="E36" s="12">
        <f t="shared" si="4"/>
        <v>5.5079200000000004</v>
      </c>
      <c r="F36" s="12">
        <f t="shared" si="0"/>
        <v>0.69651999999999958</v>
      </c>
      <c r="G36" s="12">
        <v>100</v>
      </c>
      <c r="H36" s="13">
        <v>100000</v>
      </c>
      <c r="I36" s="13">
        <f t="shared" si="1"/>
        <v>4.9208000000000003E-3</v>
      </c>
      <c r="J36" s="13">
        <f t="shared" si="2"/>
        <v>2.8034800000000005E-5</v>
      </c>
      <c r="K36" s="7">
        <f t="shared" si="3"/>
        <v>175.5247050094882</v>
      </c>
      <c r="L36" s="37"/>
      <c r="M36" s="18">
        <f>L32/I36</f>
        <v>19102.58494553731</v>
      </c>
      <c r="N36" s="13">
        <f t="shared" si="5"/>
        <v>0.19683200000000001</v>
      </c>
      <c r="O36" s="7">
        <f t="shared" si="6"/>
        <v>891.74882645854427</v>
      </c>
    </row>
    <row r="37" spans="1:15" x14ac:dyDescent="0.55000000000000004">
      <c r="A37" s="12">
        <v>3</v>
      </c>
      <c r="B37" s="12">
        <v>-3.5</v>
      </c>
      <c r="C37" s="48">
        <v>2.5056400000000005</v>
      </c>
      <c r="D37" s="54">
        <v>-2.8059400000000001</v>
      </c>
      <c r="E37" s="12">
        <f t="shared" si="4"/>
        <v>6.0056400000000005</v>
      </c>
      <c r="F37" s="12">
        <f t="shared" si="0"/>
        <v>0.6940599999999999</v>
      </c>
      <c r="G37" s="12">
        <v>100</v>
      </c>
      <c r="H37" s="13">
        <v>100000</v>
      </c>
      <c r="I37" s="13">
        <f t="shared" si="1"/>
        <v>4.943599999999995E-3</v>
      </c>
      <c r="J37" s="13">
        <f t="shared" si="2"/>
        <v>2.8059400000000001E-5</v>
      </c>
      <c r="K37" s="7">
        <f t="shared" si="3"/>
        <v>176.18338239591705</v>
      </c>
      <c r="L37" s="37"/>
      <c r="M37" s="18">
        <f>L32/I37</f>
        <v>19014.483372441155</v>
      </c>
      <c r="N37" s="13">
        <f t="shared" si="5"/>
        <v>0.19774399999999978</v>
      </c>
      <c r="O37" s="7">
        <f t="shared" si="6"/>
        <v>890.96701996478896</v>
      </c>
    </row>
    <row r="38" spans="1:15" x14ac:dyDescent="0.55000000000000004">
      <c r="A38" s="12">
        <v>3.5</v>
      </c>
      <c r="B38" s="12">
        <v>-3.5</v>
      </c>
      <c r="C38" s="48">
        <v>3.0040400000000003</v>
      </c>
      <c r="D38" s="54">
        <v>-2.8068800000000005</v>
      </c>
      <c r="E38" s="12">
        <f t="shared" si="4"/>
        <v>6.5040399999999998</v>
      </c>
      <c r="F38" s="12">
        <f t="shared" si="0"/>
        <v>0.69311999999999951</v>
      </c>
      <c r="G38" s="12">
        <v>100</v>
      </c>
      <c r="H38" s="13">
        <v>100000</v>
      </c>
      <c r="I38" s="13">
        <f t="shared" si="1"/>
        <v>4.9595999999999972E-3</v>
      </c>
      <c r="J38" s="13">
        <f t="shared" si="2"/>
        <v>2.8068800000000005E-5</v>
      </c>
      <c r="K38" s="7">
        <f t="shared" si="3"/>
        <v>176.69440802599314</v>
      </c>
      <c r="L38" s="37"/>
      <c r="M38" s="18">
        <f>L32/I38</f>
        <v>18953.141382369558</v>
      </c>
      <c r="N38" s="13">
        <f t="shared" si="5"/>
        <v>0.19838399999999987</v>
      </c>
      <c r="O38" s="7">
        <f t="shared" si="6"/>
        <v>890.66864276349531</v>
      </c>
    </row>
    <row r="39" spans="1:15" x14ac:dyDescent="0.55000000000000004">
      <c r="A39" s="12">
        <v>4</v>
      </c>
      <c r="B39" s="12">
        <v>-3.5</v>
      </c>
      <c r="C39" s="48">
        <v>3.5022999999999995</v>
      </c>
      <c r="D39" s="54">
        <v>-2.8088199999999999</v>
      </c>
      <c r="E39" s="12">
        <f t="shared" si="4"/>
        <v>7.0023</v>
      </c>
      <c r="F39" s="12">
        <f t="shared" si="0"/>
        <v>0.69118000000000013</v>
      </c>
      <c r="G39" s="12">
        <v>100</v>
      </c>
      <c r="H39" s="13">
        <v>100000</v>
      </c>
      <c r="I39" s="13">
        <f t="shared" si="1"/>
        <v>4.9770000000000049E-3</v>
      </c>
      <c r="J39" s="13">
        <f t="shared" si="2"/>
        <v>2.80882E-5</v>
      </c>
      <c r="K39" s="7">
        <f t="shared" si="3"/>
        <v>177.19184568608898</v>
      </c>
      <c r="L39" s="37"/>
      <c r="M39" s="18">
        <f>L32/I39</f>
        <v>18886.879646373298</v>
      </c>
      <c r="N39" s="13">
        <f t="shared" si="5"/>
        <v>0.19908000000000017</v>
      </c>
      <c r="O39" s="7">
        <f t="shared" si="6"/>
        <v>890.05347441274273</v>
      </c>
    </row>
    <row r="40" spans="1:15" x14ac:dyDescent="0.55000000000000004">
      <c r="A40" s="12">
        <v>4.5</v>
      </c>
      <c r="B40" s="12">
        <v>-3.5</v>
      </c>
      <c r="C40" s="48">
        <v>3.9941800000000001</v>
      </c>
      <c r="D40" s="54">
        <v>-2.8052999999999999</v>
      </c>
      <c r="E40" s="12">
        <f t="shared" si="4"/>
        <v>7.4941800000000001</v>
      </c>
      <c r="F40" s="12">
        <f t="shared" si="0"/>
        <v>0.6947000000000001</v>
      </c>
      <c r="G40" s="12">
        <v>100</v>
      </c>
      <c r="H40" s="13">
        <v>100000</v>
      </c>
      <c r="I40" s="13">
        <f t="shared" si="1"/>
        <v>5.0581999999999997E-3</v>
      </c>
      <c r="J40" s="13">
        <f t="shared" si="2"/>
        <v>2.8053000000000001E-5</v>
      </c>
      <c r="K40" s="7">
        <f t="shared" si="3"/>
        <v>180.30870138666094</v>
      </c>
      <c r="L40" s="37"/>
      <c r="M40" s="18">
        <f>L32/I40</f>
        <v>18583.685896168598</v>
      </c>
      <c r="N40" s="13">
        <f t="shared" si="5"/>
        <v>0.20232799999999998</v>
      </c>
      <c r="O40" s="7">
        <f t="shared" si="6"/>
        <v>891.17028481802311</v>
      </c>
    </row>
    <row r="41" spans="1:15" x14ac:dyDescent="0.55000000000000004">
      <c r="A41" s="12">
        <v>5</v>
      </c>
      <c r="B41" s="12">
        <v>-3.5</v>
      </c>
      <c r="C41" s="49">
        <v>4.4938599999999997</v>
      </c>
      <c r="D41" s="55">
        <v>-2.81054</v>
      </c>
      <c r="E41" s="12">
        <f t="shared" si="4"/>
        <v>7.9938599999999997</v>
      </c>
      <c r="F41" s="12">
        <f t="shared" si="0"/>
        <v>0.68945999999999996</v>
      </c>
      <c r="G41" s="12">
        <v>100</v>
      </c>
      <c r="H41" s="13">
        <v>100000</v>
      </c>
      <c r="I41" s="13">
        <f t="shared" si="1"/>
        <v>5.0614000000000024E-3</v>
      </c>
      <c r="J41" s="13">
        <f t="shared" si="2"/>
        <v>2.81054E-5</v>
      </c>
      <c r="K41" s="7">
        <f t="shared" si="3"/>
        <v>180.08638909248765</v>
      </c>
      <c r="L41" s="37"/>
      <c r="M41" s="18">
        <f>L32/I41</f>
        <v>18571.936618326938</v>
      </c>
      <c r="N41" s="13">
        <f t="shared" si="5"/>
        <v>0.20245600000000008</v>
      </c>
      <c r="O41" s="7">
        <f t="shared" si="6"/>
        <v>889.50877767261807</v>
      </c>
    </row>
    <row r="42" spans="1:15" x14ac:dyDescent="0.55000000000000004">
      <c r="A42" s="8">
        <v>0.5</v>
      </c>
      <c r="B42" s="8">
        <v>-3</v>
      </c>
      <c r="C42" s="47">
        <v>0.10489999999999999</v>
      </c>
      <c r="D42" s="53">
        <v>-2.3065800000000003</v>
      </c>
      <c r="E42" s="8">
        <f t="shared" si="4"/>
        <v>3.1048999999999998</v>
      </c>
      <c r="F42" s="8">
        <f t="shared" si="0"/>
        <v>0.6934199999999997</v>
      </c>
      <c r="G42" s="8">
        <v>100</v>
      </c>
      <c r="H42" s="9">
        <v>100000</v>
      </c>
      <c r="I42" s="9">
        <f t="shared" si="1"/>
        <v>3.9509999999999997E-3</v>
      </c>
      <c r="J42" s="9">
        <f t="shared" si="2"/>
        <v>2.3065800000000002E-5</v>
      </c>
      <c r="K42" s="5">
        <f t="shared" si="3"/>
        <v>171.29256301537339</v>
      </c>
      <c r="L42" s="33">
        <f>0.0038/(5*10^(-5))</f>
        <v>76</v>
      </c>
      <c r="M42" s="16">
        <f>L42/I42</f>
        <v>19235.636547709444</v>
      </c>
      <c r="N42" s="9">
        <f t="shared" si="5"/>
        <v>0.15803999999999999</v>
      </c>
      <c r="O42" s="5">
        <f t="shared" si="6"/>
        <v>1083.8557518057037</v>
      </c>
    </row>
    <row r="43" spans="1:15" x14ac:dyDescent="0.55000000000000004">
      <c r="A43" s="8">
        <v>1</v>
      </c>
      <c r="B43" s="8">
        <v>-3</v>
      </c>
      <c r="C43" s="48">
        <v>0.60729999999999995</v>
      </c>
      <c r="D43" s="54">
        <v>-2.3090999999999999</v>
      </c>
      <c r="E43" s="8">
        <f t="shared" si="4"/>
        <v>3.6073</v>
      </c>
      <c r="F43" s="8">
        <f t="shared" si="0"/>
        <v>0.69090000000000007</v>
      </c>
      <c r="G43" s="8">
        <v>100</v>
      </c>
      <c r="H43" s="9">
        <v>100000</v>
      </c>
      <c r="I43" s="9">
        <f t="shared" si="1"/>
        <v>3.9270000000000008E-3</v>
      </c>
      <c r="J43" s="9">
        <f t="shared" si="2"/>
        <v>2.3091E-5</v>
      </c>
      <c r="K43" s="5">
        <f t="shared" si="3"/>
        <v>170.06625958165523</v>
      </c>
      <c r="L43" s="38"/>
      <c r="M43" s="16">
        <f>L42/I43</f>
        <v>19353.195823784055</v>
      </c>
      <c r="N43" s="9">
        <f t="shared" si="5"/>
        <v>0.15708000000000003</v>
      </c>
      <c r="O43" s="5">
        <f t="shared" si="6"/>
        <v>1082.6729028625873</v>
      </c>
    </row>
    <row r="44" spans="1:15" x14ac:dyDescent="0.55000000000000004">
      <c r="A44" s="8">
        <v>1.5</v>
      </c>
      <c r="B44" s="8">
        <v>-3</v>
      </c>
      <c r="C44" s="48">
        <v>1.1057600000000001</v>
      </c>
      <c r="D44" s="54">
        <v>-2.30674</v>
      </c>
      <c r="E44" s="8">
        <f t="shared" si="4"/>
        <v>4.1057600000000001</v>
      </c>
      <c r="F44" s="8">
        <f t="shared" si="0"/>
        <v>0.69325999999999999</v>
      </c>
      <c r="G44" s="8">
        <v>100</v>
      </c>
      <c r="H44" s="9">
        <v>100000</v>
      </c>
      <c r="I44" s="9">
        <f t="shared" si="1"/>
        <v>3.9423999999999996E-3</v>
      </c>
      <c r="J44" s="9">
        <f t="shared" si="2"/>
        <v>2.3067399999999999E-5</v>
      </c>
      <c r="K44" s="5">
        <f t="shared" si="3"/>
        <v>170.90786131076757</v>
      </c>
      <c r="L44" s="38"/>
      <c r="M44" s="16">
        <f>L42/I44</f>
        <v>19277.597402597406</v>
      </c>
      <c r="N44" s="9">
        <f t="shared" si="5"/>
        <v>0.15769599999999998</v>
      </c>
      <c r="O44" s="5">
        <f t="shared" si="6"/>
        <v>1083.7805734499771</v>
      </c>
    </row>
    <row r="45" spans="1:15" x14ac:dyDescent="0.55000000000000004">
      <c r="A45" s="8">
        <v>2</v>
      </c>
      <c r="B45" s="8">
        <v>-3</v>
      </c>
      <c r="C45" s="48">
        <v>1.6044399999999999</v>
      </c>
      <c r="D45" s="54">
        <v>-2.3079999999999998</v>
      </c>
      <c r="E45" s="8">
        <f t="shared" si="4"/>
        <v>4.6044400000000003</v>
      </c>
      <c r="F45" s="8">
        <f t="shared" si="0"/>
        <v>0.69200000000000017</v>
      </c>
      <c r="G45" s="8">
        <v>100</v>
      </c>
      <c r="H45" s="9">
        <v>100000</v>
      </c>
      <c r="I45" s="9">
        <f t="shared" si="1"/>
        <v>3.955600000000001E-3</v>
      </c>
      <c r="J45" s="9">
        <f t="shared" si="2"/>
        <v>2.3079999999999999E-5</v>
      </c>
      <c r="K45" s="5">
        <f t="shared" si="3"/>
        <v>171.3864818024264</v>
      </c>
      <c r="L45" s="38"/>
      <c r="M45" s="16">
        <f>L42/I45</f>
        <v>19213.267266659921</v>
      </c>
      <c r="N45" s="9">
        <f t="shared" si="5"/>
        <v>0.15822400000000003</v>
      </c>
      <c r="O45" s="5">
        <f t="shared" si="6"/>
        <v>1083.1889081455806</v>
      </c>
    </row>
    <row r="46" spans="1:15" x14ac:dyDescent="0.55000000000000004">
      <c r="A46" s="8">
        <v>2.5</v>
      </c>
      <c r="B46" s="8">
        <v>-3</v>
      </c>
      <c r="C46" s="48">
        <v>2.0995800000000004</v>
      </c>
      <c r="D46" s="54">
        <v>-2.3047200000000005</v>
      </c>
      <c r="E46" s="8">
        <f t="shared" si="4"/>
        <v>5.0995800000000004</v>
      </c>
      <c r="F46" s="8">
        <f t="shared" si="0"/>
        <v>0.69527999999999945</v>
      </c>
      <c r="G46" s="8">
        <v>100</v>
      </c>
      <c r="H46" s="9">
        <v>100000</v>
      </c>
      <c r="I46" s="9">
        <f t="shared" si="1"/>
        <v>4.004199999999996E-3</v>
      </c>
      <c r="J46" s="9">
        <f t="shared" si="2"/>
        <v>2.3047200000000005E-5</v>
      </c>
      <c r="K46" s="5">
        <f t="shared" si="3"/>
        <v>173.73910930611939</v>
      </c>
      <c r="L46" s="38"/>
      <c r="M46" s="16">
        <f>L42/I46</f>
        <v>18980.070925528216</v>
      </c>
      <c r="N46" s="9">
        <f t="shared" si="5"/>
        <v>0.16016799999999984</v>
      </c>
      <c r="O46" s="5">
        <f t="shared" si="6"/>
        <v>1084.7304661737649</v>
      </c>
    </row>
    <row r="47" spans="1:15" x14ac:dyDescent="0.55000000000000004">
      <c r="A47" s="8">
        <v>3</v>
      </c>
      <c r="B47" s="8">
        <v>-3</v>
      </c>
      <c r="C47" s="48">
        <v>2.5994400000000004</v>
      </c>
      <c r="D47" s="54">
        <v>-2.3099600000000002</v>
      </c>
      <c r="E47" s="8">
        <f t="shared" si="4"/>
        <v>5.5994400000000004</v>
      </c>
      <c r="F47" s="8">
        <f t="shared" si="0"/>
        <v>0.69003999999999976</v>
      </c>
      <c r="G47" s="8">
        <v>100</v>
      </c>
      <c r="H47" s="9">
        <v>100000</v>
      </c>
      <c r="I47" s="9">
        <f t="shared" si="1"/>
        <v>4.0055999999999954E-3</v>
      </c>
      <c r="J47" s="9">
        <f t="shared" si="2"/>
        <v>2.3099600000000002E-5</v>
      </c>
      <c r="K47" s="5">
        <f t="shared" si="3"/>
        <v>173.40560009697117</v>
      </c>
      <c r="L47" s="38"/>
      <c r="M47" s="16">
        <f>L42/I47</f>
        <v>18973.43718793691</v>
      </c>
      <c r="N47" s="9">
        <f t="shared" si="5"/>
        <v>0.16022399999999981</v>
      </c>
      <c r="O47" s="5">
        <f t="shared" si="6"/>
        <v>1082.2698228540753</v>
      </c>
    </row>
    <row r="48" spans="1:15" x14ac:dyDescent="0.55000000000000004">
      <c r="A48" s="8">
        <v>3.5</v>
      </c>
      <c r="B48" s="8">
        <v>-3</v>
      </c>
      <c r="C48" s="48">
        <v>3.0978400000000001</v>
      </c>
      <c r="D48" s="54">
        <v>-2.3092000000000001</v>
      </c>
      <c r="E48" s="8">
        <f t="shared" si="4"/>
        <v>6.0978399999999997</v>
      </c>
      <c r="F48" s="8">
        <f t="shared" si="0"/>
        <v>0.69079999999999986</v>
      </c>
      <c r="G48" s="8">
        <v>100</v>
      </c>
      <c r="H48" s="9">
        <v>100000</v>
      </c>
      <c r="I48" s="9">
        <f t="shared" si="1"/>
        <v>4.0215999999999984E-3</v>
      </c>
      <c r="J48" s="9">
        <f t="shared" si="2"/>
        <v>2.3092000000000002E-5</v>
      </c>
      <c r="K48" s="5">
        <f t="shared" si="3"/>
        <v>174.15555170621852</v>
      </c>
      <c r="L48" s="38"/>
      <c r="M48" s="16">
        <f>L42/I48</f>
        <v>18897.95106425304</v>
      </c>
      <c r="N48" s="9">
        <f t="shared" si="5"/>
        <v>0.16086399999999992</v>
      </c>
      <c r="O48" s="5">
        <f t="shared" si="6"/>
        <v>1082.6260176684566</v>
      </c>
    </row>
    <row r="49" spans="1:15" x14ac:dyDescent="0.55000000000000004">
      <c r="A49" s="8">
        <v>4</v>
      </c>
      <c r="B49" s="8">
        <v>-3</v>
      </c>
      <c r="C49" s="48">
        <v>3.5963599999999998</v>
      </c>
      <c r="D49" s="54">
        <v>-2.3116600000000003</v>
      </c>
      <c r="E49" s="8">
        <f t="shared" si="4"/>
        <v>6.5963599999999998</v>
      </c>
      <c r="F49" s="8">
        <f t="shared" si="0"/>
        <v>0.68833999999999973</v>
      </c>
      <c r="G49" s="8">
        <v>100</v>
      </c>
      <c r="H49" s="9">
        <v>100000</v>
      </c>
      <c r="I49" s="9">
        <f t="shared" si="1"/>
        <v>4.0364000000000025E-3</v>
      </c>
      <c r="J49" s="9">
        <f t="shared" si="2"/>
        <v>2.3116600000000002E-5</v>
      </c>
      <c r="K49" s="5">
        <f t="shared" si="3"/>
        <v>174.61045309431327</v>
      </c>
      <c r="L49" s="38"/>
      <c r="M49" s="16">
        <f>L42/I49</f>
        <v>18828.659201268445</v>
      </c>
      <c r="N49" s="9">
        <f t="shared" si="5"/>
        <v>0.1614560000000001</v>
      </c>
      <c r="O49" s="5">
        <f t="shared" si="6"/>
        <v>1081.4739191749652</v>
      </c>
    </row>
    <row r="50" spans="1:15" x14ac:dyDescent="0.55000000000000004">
      <c r="A50" s="8">
        <v>4.5</v>
      </c>
      <c r="B50" s="8">
        <v>-3</v>
      </c>
      <c r="C50" s="48">
        <v>4.0887200000000004</v>
      </c>
      <c r="D50" s="54">
        <v>-2.3067000000000002</v>
      </c>
      <c r="E50" s="8">
        <f t="shared" si="4"/>
        <v>7.0887200000000004</v>
      </c>
      <c r="F50" s="8">
        <f t="shared" si="0"/>
        <v>0.69329999999999981</v>
      </c>
      <c r="G50" s="8">
        <v>100</v>
      </c>
      <c r="H50" s="9">
        <v>100000</v>
      </c>
      <c r="I50" s="9">
        <f t="shared" si="1"/>
        <v>4.1127999999999963E-3</v>
      </c>
      <c r="J50" s="9">
        <f t="shared" si="2"/>
        <v>2.3067000000000001E-5</v>
      </c>
      <c r="K50" s="5">
        <f t="shared" si="3"/>
        <v>178.29800147396696</v>
      </c>
      <c r="L50" s="38"/>
      <c r="M50" s="16">
        <f>L42/I50</f>
        <v>18478.895156584338</v>
      </c>
      <c r="N50" s="9">
        <f t="shared" si="5"/>
        <v>0.16451199999999985</v>
      </c>
      <c r="O50" s="5">
        <f t="shared" si="6"/>
        <v>1083.7993670611697</v>
      </c>
    </row>
    <row r="51" spans="1:15" x14ac:dyDescent="0.55000000000000004">
      <c r="A51" s="8">
        <v>5</v>
      </c>
      <c r="B51" s="8">
        <v>-3</v>
      </c>
      <c r="C51" s="49">
        <v>4.58514</v>
      </c>
      <c r="D51" s="55">
        <v>-2.30938</v>
      </c>
      <c r="E51" s="8">
        <f t="shared" si="4"/>
        <v>7.58514</v>
      </c>
      <c r="F51" s="8">
        <f t="shared" si="0"/>
        <v>0.69062000000000001</v>
      </c>
      <c r="G51" s="8">
        <v>100</v>
      </c>
      <c r="H51" s="9">
        <v>100000</v>
      </c>
      <c r="I51" s="9">
        <f t="shared" si="1"/>
        <v>4.1485999999999997E-3</v>
      </c>
      <c r="J51" s="9">
        <f t="shared" si="2"/>
        <v>2.3093799999999999E-5</v>
      </c>
      <c r="K51" s="5">
        <f t="shared" si="3"/>
        <v>179.64128900397509</v>
      </c>
      <c r="L51" s="38"/>
      <c r="M51" s="16">
        <f>L42/I51</f>
        <v>18319.433061755775</v>
      </c>
      <c r="N51" s="9">
        <f t="shared" si="5"/>
        <v>0.16594399999999998</v>
      </c>
      <c r="O51" s="5">
        <f t="shared" si="6"/>
        <v>1082.5416345512649</v>
      </c>
    </row>
    <row r="52" spans="1:15" x14ac:dyDescent="0.55000000000000004">
      <c r="A52" s="21">
        <v>0.5</v>
      </c>
      <c r="B52" s="21">
        <v>-2.5</v>
      </c>
      <c r="C52" s="47">
        <v>0.20216000000000003</v>
      </c>
      <c r="D52" s="53">
        <v>-1.8101800000000001</v>
      </c>
      <c r="E52" s="21">
        <f t="shared" si="4"/>
        <v>2.7021600000000001</v>
      </c>
      <c r="F52" s="21">
        <f t="shared" si="0"/>
        <v>0.68981999999999988</v>
      </c>
      <c r="G52" s="21">
        <v>100</v>
      </c>
      <c r="H52" s="22">
        <v>100000</v>
      </c>
      <c r="I52" s="22">
        <f t="shared" si="1"/>
        <v>2.9784E-3</v>
      </c>
      <c r="J52" s="22">
        <f t="shared" si="2"/>
        <v>1.81018E-5</v>
      </c>
      <c r="K52" s="23">
        <f t="shared" si="3"/>
        <v>164.53612347943297</v>
      </c>
      <c r="L52" s="34">
        <f>0.0028/(4*10^(-5))</f>
        <v>70</v>
      </c>
      <c r="M52" s="24">
        <f>L52/I52</f>
        <v>23502.551705613754</v>
      </c>
      <c r="N52" s="22">
        <f t="shared" si="5"/>
        <v>0.11913599999999999</v>
      </c>
      <c r="O52" s="23">
        <f t="shared" si="6"/>
        <v>1381.0781248273654</v>
      </c>
    </row>
    <row r="53" spans="1:15" x14ac:dyDescent="0.55000000000000004">
      <c r="A53" s="21">
        <v>1</v>
      </c>
      <c r="B53" s="21">
        <v>-2.5</v>
      </c>
      <c r="C53" s="48">
        <v>0.7019200000000001</v>
      </c>
      <c r="D53" s="54">
        <v>-1.8108599999999999</v>
      </c>
      <c r="E53" s="21">
        <f t="shared" si="4"/>
        <v>3.2019200000000003</v>
      </c>
      <c r="F53" s="21">
        <f t="shared" si="0"/>
        <v>0.68914000000000009</v>
      </c>
      <c r="G53" s="21">
        <v>100</v>
      </c>
      <c r="H53" s="22">
        <v>100000</v>
      </c>
      <c r="I53" s="22">
        <f t="shared" si="1"/>
        <v>2.9807999999999992E-3</v>
      </c>
      <c r="J53" s="22">
        <f t="shared" si="2"/>
        <v>1.8108599999999998E-5</v>
      </c>
      <c r="K53" s="23">
        <f t="shared" si="3"/>
        <v>164.60687187303267</v>
      </c>
      <c r="L53" s="36"/>
      <c r="M53" s="24">
        <f>L52/I53</f>
        <v>23483.628556092332</v>
      </c>
      <c r="N53" s="22">
        <f t="shared" si="5"/>
        <v>0.11923199999999996</v>
      </c>
      <c r="O53" s="23">
        <f t="shared" si="6"/>
        <v>1380.5595131594935</v>
      </c>
    </row>
    <row r="54" spans="1:15" x14ac:dyDescent="0.55000000000000004">
      <c r="A54" s="21">
        <v>1.5</v>
      </c>
      <c r="B54" s="21">
        <v>-2.5</v>
      </c>
      <c r="C54" s="48">
        <v>1.2030800000000001</v>
      </c>
      <c r="D54" s="54">
        <v>-1.8119599999999998</v>
      </c>
      <c r="E54" s="21">
        <f t="shared" si="4"/>
        <v>3.7030799999999999</v>
      </c>
      <c r="F54" s="21">
        <f t="shared" si="0"/>
        <v>0.68804000000000021</v>
      </c>
      <c r="G54" s="21">
        <v>100</v>
      </c>
      <c r="H54" s="22">
        <v>100000</v>
      </c>
      <c r="I54" s="22">
        <f t="shared" si="1"/>
        <v>2.9691999999999987E-3</v>
      </c>
      <c r="J54" s="22">
        <f t="shared" si="2"/>
        <v>1.8119599999999998E-5</v>
      </c>
      <c r="K54" s="23">
        <f t="shared" si="3"/>
        <v>163.86675202543097</v>
      </c>
      <c r="L54" s="36"/>
      <c r="M54" s="24">
        <f>L52/I54</f>
        <v>23575.373838070871</v>
      </c>
      <c r="N54" s="22">
        <f t="shared" si="5"/>
        <v>0.11876799999999994</v>
      </c>
      <c r="O54" s="23">
        <f t="shared" si="6"/>
        <v>1379.7214066535687</v>
      </c>
    </row>
    <row r="55" spans="1:15" x14ac:dyDescent="0.55000000000000004">
      <c r="A55" s="21">
        <v>2</v>
      </c>
      <c r="B55" s="21">
        <v>-2.5</v>
      </c>
      <c r="C55" s="48">
        <v>1.6996600000000002</v>
      </c>
      <c r="D55" s="54">
        <v>-1.8128599999999999</v>
      </c>
      <c r="E55" s="21">
        <f t="shared" si="4"/>
        <v>4.1996599999999997</v>
      </c>
      <c r="F55" s="21">
        <f t="shared" si="0"/>
        <v>0.68714000000000008</v>
      </c>
      <c r="G55" s="21">
        <v>100</v>
      </c>
      <c r="H55" s="22">
        <v>100000</v>
      </c>
      <c r="I55" s="22">
        <f t="shared" si="1"/>
        <v>3.0033999999999981E-3</v>
      </c>
      <c r="J55" s="22">
        <f t="shared" si="2"/>
        <v>1.8128599999999998E-5</v>
      </c>
      <c r="K55" s="23">
        <f t="shared" si="3"/>
        <v>165.67192171485931</v>
      </c>
      <c r="L55" s="36"/>
      <c r="M55" s="24">
        <f>L52/I55</f>
        <v>23306.918825331308</v>
      </c>
      <c r="N55" s="22">
        <f t="shared" si="5"/>
        <v>0.12013599999999992</v>
      </c>
      <c r="O55" s="23">
        <f t="shared" si="6"/>
        <v>1379.0364396588818</v>
      </c>
    </row>
    <row r="56" spans="1:15" x14ac:dyDescent="0.55000000000000004">
      <c r="A56" s="21">
        <v>2.5</v>
      </c>
      <c r="B56" s="21">
        <v>-2.5</v>
      </c>
      <c r="C56" s="48">
        <v>2.1977400000000005</v>
      </c>
      <c r="D56" s="54">
        <v>-1.8105999999999998</v>
      </c>
      <c r="E56" s="21">
        <f t="shared" si="4"/>
        <v>4.6977400000000005</v>
      </c>
      <c r="F56" s="21">
        <f t="shared" si="0"/>
        <v>0.68940000000000023</v>
      </c>
      <c r="G56" s="21">
        <v>100</v>
      </c>
      <c r="H56" s="22">
        <v>100000</v>
      </c>
      <c r="I56" s="22">
        <f t="shared" si="1"/>
        <v>3.0225999999999951E-3</v>
      </c>
      <c r="J56" s="22">
        <f t="shared" si="2"/>
        <v>1.8105999999999999E-5</v>
      </c>
      <c r="K56" s="23">
        <f t="shared" si="3"/>
        <v>166.93913619794517</v>
      </c>
      <c r="L56" s="36"/>
      <c r="M56" s="24">
        <f>L52/I56</f>
        <v>23158.869847151498</v>
      </c>
      <c r="N56" s="22">
        <f t="shared" si="5"/>
        <v>0.1209039999999998</v>
      </c>
      <c r="O56" s="23">
        <f t="shared" si="6"/>
        <v>1380.7577598586106</v>
      </c>
    </row>
    <row r="57" spans="1:15" x14ac:dyDescent="0.55000000000000004">
      <c r="A57" s="21">
        <v>3</v>
      </c>
      <c r="B57" s="21">
        <v>-2.5</v>
      </c>
      <c r="C57" s="48">
        <v>2.6948400000000001</v>
      </c>
      <c r="D57" s="54">
        <v>-1.8127000000000002</v>
      </c>
      <c r="E57" s="21">
        <f t="shared" si="4"/>
        <v>5.1948400000000001</v>
      </c>
      <c r="F57" s="21">
        <f t="shared" si="0"/>
        <v>0.6872999999999998</v>
      </c>
      <c r="G57" s="21">
        <v>100</v>
      </c>
      <c r="H57" s="22">
        <v>100000</v>
      </c>
      <c r="I57" s="22">
        <f t="shared" si="1"/>
        <v>3.0515999999999989E-3</v>
      </c>
      <c r="J57" s="22">
        <f t="shared" si="2"/>
        <v>1.8127000000000001E-5</v>
      </c>
      <c r="K57" s="23">
        <f t="shared" si="3"/>
        <v>168.34556186903507</v>
      </c>
      <c r="L57" s="36"/>
      <c r="M57" s="24">
        <f>L52/I57</f>
        <v>22938.786210512528</v>
      </c>
      <c r="N57" s="22">
        <f t="shared" si="5"/>
        <v>0.12206399999999995</v>
      </c>
      <c r="O57" s="23">
        <f t="shared" si="6"/>
        <v>1379.1581618580019</v>
      </c>
    </row>
    <row r="58" spans="1:15" x14ac:dyDescent="0.55000000000000004">
      <c r="A58" s="21">
        <v>3.5</v>
      </c>
      <c r="B58" s="21">
        <v>-2.5</v>
      </c>
      <c r="C58" s="48">
        <v>3.1957200000000006</v>
      </c>
      <c r="D58" s="54">
        <v>-1.8138999999999998</v>
      </c>
      <c r="E58" s="21">
        <f t="shared" si="4"/>
        <v>5.6957200000000006</v>
      </c>
      <c r="F58" s="21">
        <f t="shared" si="0"/>
        <v>0.68610000000000015</v>
      </c>
      <c r="G58" s="21">
        <v>100</v>
      </c>
      <c r="H58" s="22">
        <v>100000</v>
      </c>
      <c r="I58" s="22">
        <f t="shared" si="1"/>
        <v>3.0427999999999944E-3</v>
      </c>
      <c r="J58" s="22">
        <f t="shared" si="2"/>
        <v>1.8138999999999997E-5</v>
      </c>
      <c r="K58" s="23">
        <f t="shared" si="3"/>
        <v>167.74904901041927</v>
      </c>
      <c r="L58" s="36"/>
      <c r="M58" s="24">
        <f>L52/I58</f>
        <v>23005.126856842424</v>
      </c>
      <c r="N58" s="22">
        <f t="shared" si="5"/>
        <v>0.12171199999999976</v>
      </c>
      <c r="O58" s="23">
        <f t="shared" si="6"/>
        <v>1378.2457687854901</v>
      </c>
    </row>
    <row r="59" spans="1:15" x14ac:dyDescent="0.55000000000000004">
      <c r="A59" s="21">
        <v>4</v>
      </c>
      <c r="B59" s="21">
        <v>-2.5</v>
      </c>
      <c r="C59" s="48">
        <v>3.6930199999999997</v>
      </c>
      <c r="D59" s="54">
        <v>-1.8159599999999998</v>
      </c>
      <c r="E59" s="21">
        <f t="shared" si="4"/>
        <v>6.1930199999999997</v>
      </c>
      <c r="F59" s="21">
        <f t="shared" si="0"/>
        <v>0.6840400000000002</v>
      </c>
      <c r="G59" s="21">
        <v>100</v>
      </c>
      <c r="H59" s="22">
        <v>100000</v>
      </c>
      <c r="I59" s="22">
        <f t="shared" si="1"/>
        <v>3.0698000000000027E-3</v>
      </c>
      <c r="J59" s="22">
        <f t="shared" si="2"/>
        <v>1.8159599999999998E-5</v>
      </c>
      <c r="K59" s="23">
        <f t="shared" si="3"/>
        <v>169.04557369105063</v>
      </c>
      <c r="L59" s="36"/>
      <c r="M59" s="24">
        <f>L52/I59</f>
        <v>22802.788455273938</v>
      </c>
      <c r="N59" s="22">
        <f t="shared" si="5"/>
        <v>0.12279200000000011</v>
      </c>
      <c r="O59" s="23">
        <f t="shared" si="6"/>
        <v>1376.6823057776605</v>
      </c>
    </row>
    <row r="60" spans="1:15" x14ac:dyDescent="0.55000000000000004">
      <c r="A60" s="21">
        <v>4.5</v>
      </c>
      <c r="B60" s="21">
        <v>-2.5</v>
      </c>
      <c r="C60" s="48">
        <v>4.1860400000000002</v>
      </c>
      <c r="D60" s="54">
        <v>-1.8111200000000003</v>
      </c>
      <c r="E60" s="21">
        <f t="shared" si="4"/>
        <v>6.6860400000000002</v>
      </c>
      <c r="F60" s="21">
        <f t="shared" si="0"/>
        <v>0.68887999999999971</v>
      </c>
      <c r="G60" s="21">
        <v>100</v>
      </c>
      <c r="H60" s="22">
        <v>100000</v>
      </c>
      <c r="I60" s="22">
        <f t="shared" si="1"/>
        <v>3.139599999999998E-3</v>
      </c>
      <c r="J60" s="22">
        <f t="shared" si="2"/>
        <v>1.8111200000000004E-5</v>
      </c>
      <c r="K60" s="23">
        <f t="shared" si="3"/>
        <v>173.35129643535478</v>
      </c>
      <c r="L60" s="36"/>
      <c r="M60" s="24">
        <f>L52/I60</f>
        <v>22295.833864186534</v>
      </c>
      <c r="N60" s="22">
        <f t="shared" si="5"/>
        <v>0.12558399999999992</v>
      </c>
      <c r="O60" s="23">
        <f t="shared" si="6"/>
        <v>1380.3613233800077</v>
      </c>
    </row>
    <row r="61" spans="1:15" x14ac:dyDescent="0.55000000000000004">
      <c r="A61" s="21">
        <v>5</v>
      </c>
      <c r="B61" s="21">
        <v>-2.5</v>
      </c>
      <c r="C61" s="49">
        <v>4.6828000000000003</v>
      </c>
      <c r="D61" s="55">
        <v>-1.8129400000000004</v>
      </c>
      <c r="E61" s="21">
        <f t="shared" si="4"/>
        <v>7.1828000000000003</v>
      </c>
      <c r="F61" s="21">
        <f t="shared" si="0"/>
        <v>0.68705999999999956</v>
      </c>
      <c r="G61" s="21">
        <v>100</v>
      </c>
      <c r="H61" s="22">
        <v>100000</v>
      </c>
      <c r="I61" s="22">
        <f t="shared" si="1"/>
        <v>3.1719999999999969E-3</v>
      </c>
      <c r="J61" s="22">
        <f t="shared" si="2"/>
        <v>1.8129400000000003E-5</v>
      </c>
      <c r="K61" s="23">
        <f t="shared" si="3"/>
        <v>174.9644224298651</v>
      </c>
      <c r="L61" s="36"/>
      <c r="M61" s="24">
        <f>L52/I61</f>
        <v>22068.095838587662</v>
      </c>
      <c r="N61" s="22">
        <f t="shared" si="5"/>
        <v>0.12687999999999985</v>
      </c>
      <c r="O61" s="23">
        <f t="shared" si="6"/>
        <v>1378.9755866162143</v>
      </c>
    </row>
    <row r="62" spans="1:15" x14ac:dyDescent="0.55000000000000004">
      <c r="A62" s="10">
        <v>0.5</v>
      </c>
      <c r="B62" s="10">
        <v>-2</v>
      </c>
      <c r="C62" s="47">
        <v>0.29046000000000005</v>
      </c>
      <c r="D62" s="53">
        <v>-1.31596</v>
      </c>
      <c r="E62" s="10">
        <f t="shared" si="4"/>
        <v>2.2904599999999999</v>
      </c>
      <c r="F62" s="10">
        <f t="shared" si="0"/>
        <v>0.68403999999999998</v>
      </c>
      <c r="G62" s="10">
        <v>100</v>
      </c>
      <c r="H62" s="11">
        <v>100000</v>
      </c>
      <c r="I62" s="11">
        <f t="shared" si="1"/>
        <v>2.0953999999999994E-3</v>
      </c>
      <c r="J62" s="11">
        <f t="shared" si="2"/>
        <v>1.31596E-5</v>
      </c>
      <c r="K62" s="6">
        <f t="shared" si="3"/>
        <v>159.22976382260853</v>
      </c>
      <c r="L62" s="30">
        <f>0.002/(3*10^(-5))</f>
        <v>66.666666666666657</v>
      </c>
      <c r="M62" s="17">
        <f>L62/I62</f>
        <v>31815.723330469922</v>
      </c>
      <c r="N62" s="11">
        <f t="shared" si="5"/>
        <v>8.3815999999999974E-2</v>
      </c>
      <c r="O62" s="6">
        <f t="shared" si="6"/>
        <v>1899.7537919085687</v>
      </c>
    </row>
    <row r="63" spans="1:15" x14ac:dyDescent="0.55000000000000004">
      <c r="A63" s="10">
        <v>1</v>
      </c>
      <c r="B63" s="10">
        <v>-2</v>
      </c>
      <c r="C63" s="48">
        <v>0.79098000000000002</v>
      </c>
      <c r="D63" s="54">
        <v>-1.31704</v>
      </c>
      <c r="E63" s="10">
        <f t="shared" si="4"/>
        <v>2.7909800000000002</v>
      </c>
      <c r="F63" s="10">
        <f t="shared" si="0"/>
        <v>0.68296000000000001</v>
      </c>
      <c r="G63" s="10">
        <v>100</v>
      </c>
      <c r="H63" s="11">
        <v>100000</v>
      </c>
      <c r="I63" s="11">
        <f t="shared" si="1"/>
        <v>2.0902E-3</v>
      </c>
      <c r="J63" s="11">
        <f t="shared" si="2"/>
        <v>1.31704E-5</v>
      </c>
      <c r="K63" s="6">
        <f t="shared" si="3"/>
        <v>158.70436736925225</v>
      </c>
      <c r="L63" s="35"/>
      <c r="M63" s="17">
        <f>L62/I63</f>
        <v>31894.874493668864</v>
      </c>
      <c r="N63" s="11">
        <f t="shared" si="5"/>
        <v>8.3607999999999988E-2</v>
      </c>
      <c r="O63" s="6">
        <f t="shared" si="6"/>
        <v>1898.1959545647817</v>
      </c>
    </row>
    <row r="64" spans="1:15" x14ac:dyDescent="0.55000000000000004">
      <c r="A64" s="10">
        <v>1.5</v>
      </c>
      <c r="B64" s="10">
        <v>-2</v>
      </c>
      <c r="C64" s="48">
        <v>1.2892400000000002</v>
      </c>
      <c r="D64" s="54">
        <v>-1.3159000000000001</v>
      </c>
      <c r="E64" s="10">
        <f t="shared" si="4"/>
        <v>3.2892400000000004</v>
      </c>
      <c r="F64" s="10">
        <f t="shared" si="0"/>
        <v>0.68409999999999993</v>
      </c>
      <c r="G64" s="10">
        <v>100</v>
      </c>
      <c r="H64" s="11">
        <v>100000</v>
      </c>
      <c r="I64" s="11">
        <f t="shared" si="1"/>
        <v>2.1075999999999985E-3</v>
      </c>
      <c r="J64" s="11">
        <f t="shared" si="2"/>
        <v>1.3159000000000001E-5</v>
      </c>
      <c r="K64" s="6">
        <f t="shared" si="3"/>
        <v>160.1641462117181</v>
      </c>
      <c r="L64" s="35"/>
      <c r="M64" s="17">
        <f>L62/I64</f>
        <v>31631.55563990639</v>
      </c>
      <c r="N64" s="11">
        <f t="shared" si="5"/>
        <v>8.4303999999999935E-2</v>
      </c>
      <c r="O64" s="6">
        <f t="shared" si="6"/>
        <v>1899.8404134052739</v>
      </c>
    </row>
    <row r="65" spans="1:15" x14ac:dyDescent="0.55000000000000004">
      <c r="A65" s="10">
        <v>2</v>
      </c>
      <c r="B65" s="10">
        <v>-2</v>
      </c>
      <c r="C65" s="48">
        <v>1.7882400000000001</v>
      </c>
      <c r="D65" s="54">
        <v>-1.3189199999999999</v>
      </c>
      <c r="E65" s="10">
        <f t="shared" si="4"/>
        <v>3.7882400000000001</v>
      </c>
      <c r="F65" s="10">
        <f t="shared" si="0"/>
        <v>0.68108000000000013</v>
      </c>
      <c r="G65" s="10">
        <v>100</v>
      </c>
      <c r="H65" s="11">
        <v>100000</v>
      </c>
      <c r="I65" s="11">
        <f t="shared" si="1"/>
        <v>2.1175999999999994E-3</v>
      </c>
      <c r="J65" s="11">
        <f t="shared" si="2"/>
        <v>1.3189199999999999E-5</v>
      </c>
      <c r="K65" s="6">
        <f t="shared" si="3"/>
        <v>160.55560610196218</v>
      </c>
      <c r="L65" s="35"/>
      <c r="M65" s="17">
        <f>L62/I65</f>
        <v>31482.181085505606</v>
      </c>
      <c r="N65" s="11">
        <f t="shared" si="5"/>
        <v>8.4703999999999974E-2</v>
      </c>
      <c r="O65" s="6">
        <f t="shared" si="6"/>
        <v>1895.4902495981564</v>
      </c>
    </row>
    <row r="66" spans="1:15" x14ac:dyDescent="0.55000000000000004">
      <c r="A66" s="10">
        <v>2.5</v>
      </c>
      <c r="B66" s="10">
        <v>-2</v>
      </c>
      <c r="C66" s="48">
        <v>2.2831800000000002</v>
      </c>
      <c r="D66" s="54">
        <v>-1.31446</v>
      </c>
      <c r="E66" s="10">
        <f t="shared" si="4"/>
        <v>4.2831799999999998</v>
      </c>
      <c r="F66" s="10">
        <f t="shared" ref="F66:F91" si="7">D66-B66</f>
        <v>0.68554000000000004</v>
      </c>
      <c r="G66" s="10">
        <v>100</v>
      </c>
      <c r="H66" s="11">
        <v>100000</v>
      </c>
      <c r="I66" s="11">
        <f t="shared" ref="I66:I91" si="8">(A66-C66)/G66</f>
        <v>2.1681999999999977E-3</v>
      </c>
      <c r="J66" s="11">
        <f t="shared" ref="J66:J91" si="9">(0-D66)/H66</f>
        <v>1.3144599999999999E-5</v>
      </c>
      <c r="K66" s="6">
        <f t="shared" ref="K66:K91" si="10">I66/J66</f>
        <v>164.94986534394334</v>
      </c>
      <c r="L66" s="35"/>
      <c r="M66" s="17">
        <f>L62/I66</f>
        <v>30747.47102050859</v>
      </c>
      <c r="N66" s="11">
        <f t="shared" si="5"/>
        <v>8.6727999999999902E-2</v>
      </c>
      <c r="O66" s="6">
        <f t="shared" si="6"/>
        <v>1901.9217016873852</v>
      </c>
    </row>
    <row r="67" spans="1:15" x14ac:dyDescent="0.55000000000000004">
      <c r="A67" s="10">
        <v>3</v>
      </c>
      <c r="B67" s="10">
        <v>-2</v>
      </c>
      <c r="C67" s="48">
        <v>2.7836400000000006</v>
      </c>
      <c r="D67" s="54">
        <v>-1.3167000000000002</v>
      </c>
      <c r="E67" s="10">
        <f t="shared" ref="E67:E91" si="11">C67-B67</f>
        <v>4.7836400000000001</v>
      </c>
      <c r="F67" s="10">
        <f t="shared" si="7"/>
        <v>0.6832999999999998</v>
      </c>
      <c r="G67" s="10">
        <v>100</v>
      </c>
      <c r="H67" s="11">
        <v>100000</v>
      </c>
      <c r="I67" s="11">
        <f t="shared" si="8"/>
        <v>2.1635999999999943E-3</v>
      </c>
      <c r="J67" s="11">
        <f t="shared" si="9"/>
        <v>1.3167000000000003E-5</v>
      </c>
      <c r="K67" s="6">
        <f t="shared" si="10"/>
        <v>164.31989063567963</v>
      </c>
      <c r="L67" s="35"/>
      <c r="M67" s="17">
        <f>L62/I67</f>
        <v>30812.842792876148</v>
      </c>
      <c r="N67" s="11">
        <f t="shared" ref="N67:N91" si="12">I67/0.025</f>
        <v>8.654399999999976E-2</v>
      </c>
      <c r="O67" s="6">
        <f t="shared" ref="O67:O91" si="13">0.025/J67</f>
        <v>1898.6861092124248</v>
      </c>
    </row>
    <row r="68" spans="1:15" x14ac:dyDescent="0.55000000000000004">
      <c r="A68" s="10">
        <v>3.5</v>
      </c>
      <c r="B68" s="10">
        <v>-2</v>
      </c>
      <c r="C68" s="48">
        <v>3.2830799999999996</v>
      </c>
      <c r="D68" s="54">
        <v>-1.31656</v>
      </c>
      <c r="E68" s="10">
        <f t="shared" si="11"/>
        <v>5.28308</v>
      </c>
      <c r="F68" s="10">
        <f t="shared" si="7"/>
        <v>0.68344000000000005</v>
      </c>
      <c r="G68" s="10">
        <v>100</v>
      </c>
      <c r="H68" s="11">
        <v>100000</v>
      </c>
      <c r="I68" s="11">
        <f t="shared" si="8"/>
        <v>2.1692000000000044E-3</v>
      </c>
      <c r="J68" s="11">
        <f t="shared" si="9"/>
        <v>1.31656E-5</v>
      </c>
      <c r="K68" s="6">
        <f t="shared" si="10"/>
        <v>164.7627149541232</v>
      </c>
      <c r="L68" s="35"/>
      <c r="M68" s="17">
        <f>L62/I68</f>
        <v>30733.296453377523</v>
      </c>
      <c r="N68" s="11">
        <f t="shared" si="12"/>
        <v>8.6768000000000164E-2</v>
      </c>
      <c r="O68" s="6">
        <f t="shared" si="13"/>
        <v>1898.8880111806527</v>
      </c>
    </row>
    <row r="69" spans="1:15" x14ac:dyDescent="0.55000000000000004">
      <c r="A69" s="10">
        <v>4</v>
      </c>
      <c r="B69" s="10">
        <v>-2</v>
      </c>
      <c r="C69" s="48">
        <v>3.7827200000000003</v>
      </c>
      <c r="D69" s="54">
        <v>-1.3198600000000003</v>
      </c>
      <c r="E69" s="10">
        <f t="shared" si="11"/>
        <v>5.7827200000000003</v>
      </c>
      <c r="F69" s="10">
        <f t="shared" si="7"/>
        <v>0.68013999999999974</v>
      </c>
      <c r="G69" s="10">
        <v>100</v>
      </c>
      <c r="H69" s="11">
        <v>100000</v>
      </c>
      <c r="I69" s="11">
        <f t="shared" si="8"/>
        <v>2.1727999999999969E-3</v>
      </c>
      <c r="J69" s="11">
        <f t="shared" si="9"/>
        <v>1.3198600000000003E-5</v>
      </c>
      <c r="K69" s="6">
        <f t="shared" si="10"/>
        <v>164.62352067643511</v>
      </c>
      <c r="L69" s="35"/>
      <c r="M69" s="17">
        <f>L62/I69</f>
        <v>30682.376043200824</v>
      </c>
      <c r="N69" s="11">
        <f t="shared" si="12"/>
        <v>8.6911999999999864E-2</v>
      </c>
      <c r="O69" s="6">
        <f t="shared" si="13"/>
        <v>1894.1402876062609</v>
      </c>
    </row>
    <row r="70" spans="1:15" x14ac:dyDescent="0.55000000000000004">
      <c r="A70" s="10">
        <v>4.5</v>
      </c>
      <c r="B70" s="10">
        <v>-2</v>
      </c>
      <c r="C70" s="48">
        <v>4.2781000000000002</v>
      </c>
      <c r="D70" s="54">
        <v>-1.3218600000000003</v>
      </c>
      <c r="E70" s="10">
        <f t="shared" si="11"/>
        <v>6.2781000000000002</v>
      </c>
      <c r="F70" s="10">
        <f t="shared" si="7"/>
        <v>0.67813999999999974</v>
      </c>
      <c r="G70" s="10">
        <v>100</v>
      </c>
      <c r="H70" s="11">
        <v>100000</v>
      </c>
      <c r="I70" s="11">
        <f t="shared" si="8"/>
        <v>2.2189999999999975E-3</v>
      </c>
      <c r="J70" s="11">
        <f t="shared" si="9"/>
        <v>1.3218600000000002E-5</v>
      </c>
      <c r="K70" s="6">
        <f t="shared" si="10"/>
        <v>167.86951719546676</v>
      </c>
      <c r="L70" s="35"/>
      <c r="M70" s="17">
        <f>L62/I70</f>
        <v>30043.563166591586</v>
      </c>
      <c r="N70" s="11">
        <f t="shared" si="12"/>
        <v>8.8759999999999895E-2</v>
      </c>
      <c r="O70" s="6">
        <f t="shared" si="13"/>
        <v>1891.2744163527148</v>
      </c>
    </row>
    <row r="71" spans="1:15" x14ac:dyDescent="0.55000000000000004">
      <c r="A71" s="10">
        <v>5</v>
      </c>
      <c r="B71" s="10">
        <v>-2</v>
      </c>
      <c r="C71" s="49">
        <v>4.7769199999999996</v>
      </c>
      <c r="D71" s="55">
        <v>-1.3225</v>
      </c>
      <c r="E71" s="10">
        <f t="shared" si="11"/>
        <v>6.7769199999999996</v>
      </c>
      <c r="F71" s="10">
        <f t="shared" si="7"/>
        <v>0.67749999999999999</v>
      </c>
      <c r="G71" s="10">
        <v>100</v>
      </c>
      <c r="H71" s="11">
        <v>100000</v>
      </c>
      <c r="I71" s="11">
        <f t="shared" si="8"/>
        <v>2.2308000000000037E-3</v>
      </c>
      <c r="J71" s="11">
        <f t="shared" si="9"/>
        <v>1.3225E-5</v>
      </c>
      <c r="K71" s="6">
        <f t="shared" si="10"/>
        <v>168.6805293005674</v>
      </c>
      <c r="L71" s="35"/>
      <c r="M71" s="17">
        <f>L62/I71</f>
        <v>29884.6452692606</v>
      </c>
      <c r="N71" s="11">
        <f t="shared" si="12"/>
        <v>8.9232000000000145E-2</v>
      </c>
      <c r="O71" s="6">
        <f t="shared" si="13"/>
        <v>1890.3591682419662</v>
      </c>
    </row>
    <row r="72" spans="1:15" x14ac:dyDescent="0.55000000000000004">
      <c r="A72" s="12">
        <v>0.5</v>
      </c>
      <c r="B72" s="12">
        <v>-1.5</v>
      </c>
      <c r="C72" s="47">
        <v>0.37864000000000003</v>
      </c>
      <c r="D72" s="53">
        <v>-0.82464000000000015</v>
      </c>
      <c r="E72" s="12">
        <f t="shared" si="11"/>
        <v>1.8786400000000001</v>
      </c>
      <c r="F72" s="12">
        <f t="shared" si="7"/>
        <v>0.67535999999999985</v>
      </c>
      <c r="G72" s="12">
        <v>100</v>
      </c>
      <c r="H72" s="13">
        <v>100000</v>
      </c>
      <c r="I72" s="13">
        <f t="shared" si="8"/>
        <v>1.2135999999999996E-3</v>
      </c>
      <c r="J72" s="13">
        <f t="shared" si="9"/>
        <v>8.2464000000000012E-6</v>
      </c>
      <c r="K72" s="7">
        <f t="shared" si="10"/>
        <v>147.16724873884354</v>
      </c>
      <c r="L72" s="32">
        <f>0.0011/(2*10^(-5))</f>
        <v>55</v>
      </c>
      <c r="M72" s="18">
        <f>L72/I72</f>
        <v>45319.709953856312</v>
      </c>
      <c r="N72" s="13">
        <f t="shared" si="12"/>
        <v>4.8543999999999983E-2</v>
      </c>
      <c r="O72" s="7">
        <f t="shared" si="13"/>
        <v>3031.6259216142798</v>
      </c>
    </row>
    <row r="73" spans="1:15" x14ac:dyDescent="0.55000000000000004">
      <c r="A73" s="12">
        <v>1</v>
      </c>
      <c r="B73" s="12">
        <v>-1.5</v>
      </c>
      <c r="C73" s="48">
        <v>0.87864000000000009</v>
      </c>
      <c r="D73" s="54">
        <v>-0.82574000000000003</v>
      </c>
      <c r="E73" s="12">
        <f t="shared" si="11"/>
        <v>2.3786399999999999</v>
      </c>
      <c r="F73" s="12">
        <f t="shared" si="7"/>
        <v>0.67425999999999997</v>
      </c>
      <c r="G73" s="12">
        <v>100</v>
      </c>
      <c r="H73" s="13">
        <v>100000</v>
      </c>
      <c r="I73" s="13">
        <f t="shared" si="8"/>
        <v>1.2135999999999991E-3</v>
      </c>
      <c r="J73" s="13">
        <f t="shared" si="9"/>
        <v>8.2573999999999999E-6</v>
      </c>
      <c r="K73" s="7">
        <f t="shared" si="10"/>
        <v>146.97120158887776</v>
      </c>
      <c r="L73" s="31"/>
      <c r="M73" s="18">
        <f>L72/I73</f>
        <v>45319.709953856327</v>
      </c>
      <c r="N73" s="13">
        <f t="shared" si="12"/>
        <v>4.8543999999999962E-2</v>
      </c>
      <c r="O73" s="7">
        <f t="shared" si="13"/>
        <v>3027.5873761716766</v>
      </c>
    </row>
    <row r="74" spans="1:15" x14ac:dyDescent="0.55000000000000004">
      <c r="A74" s="12">
        <v>1.5</v>
      </c>
      <c r="B74" s="12">
        <v>-1.5</v>
      </c>
      <c r="C74" s="48">
        <v>1.37646</v>
      </c>
      <c r="D74" s="54">
        <v>-0.82474000000000003</v>
      </c>
      <c r="E74" s="12">
        <f t="shared" si="11"/>
        <v>2.8764599999999998</v>
      </c>
      <c r="F74" s="12">
        <f t="shared" si="7"/>
        <v>0.67525999999999997</v>
      </c>
      <c r="G74" s="12">
        <v>100</v>
      </c>
      <c r="H74" s="13">
        <v>100000</v>
      </c>
      <c r="I74" s="13">
        <f t="shared" si="8"/>
        <v>1.2353999999999998E-3</v>
      </c>
      <c r="J74" s="13">
        <f t="shared" si="9"/>
        <v>8.2474E-6</v>
      </c>
      <c r="K74" s="7">
        <f t="shared" si="10"/>
        <v>149.79266192982027</v>
      </c>
      <c r="L74" s="31"/>
      <c r="M74" s="18">
        <f>L72/I74</f>
        <v>44519.993524364589</v>
      </c>
      <c r="N74" s="13">
        <f t="shared" si="12"/>
        <v>4.9415999999999988E-2</v>
      </c>
      <c r="O74" s="7">
        <f t="shared" si="13"/>
        <v>3031.2583359604241</v>
      </c>
    </row>
    <row r="75" spans="1:15" x14ac:dyDescent="0.55000000000000004">
      <c r="A75" s="12">
        <v>2</v>
      </c>
      <c r="B75" s="12">
        <v>-1.5</v>
      </c>
      <c r="C75" s="48">
        <v>1.8772000000000002</v>
      </c>
      <c r="D75" s="54">
        <v>-0.8281400000000001</v>
      </c>
      <c r="E75" s="12">
        <f t="shared" si="11"/>
        <v>3.3772000000000002</v>
      </c>
      <c r="F75" s="12">
        <f t="shared" si="7"/>
        <v>0.6718599999999999</v>
      </c>
      <c r="G75" s="12">
        <v>100</v>
      </c>
      <c r="H75" s="13">
        <v>100000</v>
      </c>
      <c r="I75" s="13">
        <f t="shared" si="8"/>
        <v>1.227999999999998E-3</v>
      </c>
      <c r="J75" s="13">
        <f t="shared" si="9"/>
        <v>8.2814000000000017E-6</v>
      </c>
      <c r="K75" s="7">
        <f t="shared" si="10"/>
        <v>148.284106552032</v>
      </c>
      <c r="L75" s="31"/>
      <c r="M75" s="18">
        <f>L72/I75</f>
        <v>44788.273615635255</v>
      </c>
      <c r="N75" s="13">
        <f t="shared" si="12"/>
        <v>4.9119999999999914E-2</v>
      </c>
      <c r="O75" s="7">
        <f t="shared" si="13"/>
        <v>3018.8132441374642</v>
      </c>
    </row>
    <row r="76" spans="1:15" x14ac:dyDescent="0.55000000000000004">
      <c r="A76" s="12">
        <v>2.5</v>
      </c>
      <c r="B76" s="12">
        <v>-1.5</v>
      </c>
      <c r="C76" s="48">
        <v>2.3785400000000001</v>
      </c>
      <c r="D76" s="54">
        <v>-0.83277999999999996</v>
      </c>
      <c r="E76" s="12">
        <f t="shared" si="11"/>
        <v>3.8785400000000001</v>
      </c>
      <c r="F76" s="12">
        <f t="shared" si="7"/>
        <v>0.66722000000000004</v>
      </c>
      <c r="G76" s="12">
        <v>100</v>
      </c>
      <c r="H76" s="13">
        <v>100000</v>
      </c>
      <c r="I76" s="13">
        <f t="shared" si="8"/>
        <v>1.2145999999999991E-3</v>
      </c>
      <c r="J76" s="13">
        <f t="shared" si="9"/>
        <v>8.3278000000000001E-6</v>
      </c>
      <c r="K76" s="7">
        <f t="shared" si="10"/>
        <v>145.84884363217165</v>
      </c>
      <c r="L76" s="31"/>
      <c r="M76" s="18">
        <f>L72/I76</f>
        <v>45282.397497118429</v>
      </c>
      <c r="N76" s="13">
        <f t="shared" si="12"/>
        <v>4.8583999999999961E-2</v>
      </c>
      <c r="O76" s="7">
        <f t="shared" si="13"/>
        <v>3001.9933235668486</v>
      </c>
    </row>
    <row r="77" spans="1:15" x14ac:dyDescent="0.55000000000000004">
      <c r="A77" s="12">
        <v>3</v>
      </c>
      <c r="B77" s="12">
        <v>-1.5</v>
      </c>
      <c r="C77" s="48">
        <v>2.8775599999999999</v>
      </c>
      <c r="D77" s="54">
        <v>-0.83254000000000006</v>
      </c>
      <c r="E77" s="12">
        <f t="shared" si="11"/>
        <v>4.3775599999999999</v>
      </c>
      <c r="F77" s="12">
        <f t="shared" si="7"/>
        <v>0.66745999999999994</v>
      </c>
      <c r="G77" s="12">
        <v>100</v>
      </c>
      <c r="H77" s="13">
        <v>100000</v>
      </c>
      <c r="I77" s="13">
        <f t="shared" si="8"/>
        <v>1.2244000000000011E-3</v>
      </c>
      <c r="J77" s="13">
        <f t="shared" si="9"/>
        <v>8.3253999999999999E-6</v>
      </c>
      <c r="K77" s="7">
        <f t="shared" si="10"/>
        <v>147.06800874432474</v>
      </c>
      <c r="L77" s="31"/>
      <c r="M77" s="18">
        <f>L72/I77</f>
        <v>44919.960797125081</v>
      </c>
      <c r="N77" s="13">
        <f t="shared" si="12"/>
        <v>4.897600000000004E-2</v>
      </c>
      <c r="O77" s="7">
        <f t="shared" si="13"/>
        <v>3002.858721502871</v>
      </c>
    </row>
    <row r="78" spans="1:15" x14ac:dyDescent="0.55000000000000004">
      <c r="A78" s="12">
        <v>3.5</v>
      </c>
      <c r="B78" s="12">
        <v>-1.5</v>
      </c>
      <c r="C78" s="48">
        <v>3.3770800000000003</v>
      </c>
      <c r="D78" s="54">
        <v>-0.83401999999999998</v>
      </c>
      <c r="E78" s="12">
        <f t="shared" si="11"/>
        <v>4.8770800000000003</v>
      </c>
      <c r="F78" s="12">
        <f t="shared" si="7"/>
        <v>0.66598000000000002</v>
      </c>
      <c r="G78" s="12">
        <v>100</v>
      </c>
      <c r="H78" s="13">
        <v>100000</v>
      </c>
      <c r="I78" s="13">
        <f t="shared" si="8"/>
        <v>1.2291999999999969E-3</v>
      </c>
      <c r="J78" s="13">
        <f t="shared" si="9"/>
        <v>8.3402000000000002E-6</v>
      </c>
      <c r="K78" s="7">
        <f t="shared" si="10"/>
        <v>147.38255677321848</v>
      </c>
      <c r="L78" s="31"/>
      <c r="M78" s="18">
        <f>L72/I78</f>
        <v>44744.54930035807</v>
      </c>
      <c r="N78" s="13">
        <f t="shared" si="12"/>
        <v>4.9167999999999872E-2</v>
      </c>
      <c r="O78" s="7">
        <f t="shared" si="13"/>
        <v>2997.5300352509535</v>
      </c>
    </row>
    <row r="79" spans="1:15" x14ac:dyDescent="0.55000000000000004">
      <c r="A79" s="12">
        <v>4</v>
      </c>
      <c r="B79" s="12">
        <v>-1.5</v>
      </c>
      <c r="C79" s="48">
        <v>3.8689200000000001</v>
      </c>
      <c r="D79" s="54">
        <v>-0.82772000000000001</v>
      </c>
      <c r="E79" s="12">
        <f t="shared" si="11"/>
        <v>5.3689200000000001</v>
      </c>
      <c r="F79" s="12">
        <f t="shared" si="7"/>
        <v>0.67227999999999999</v>
      </c>
      <c r="G79" s="12">
        <v>100</v>
      </c>
      <c r="H79" s="13">
        <v>100000</v>
      </c>
      <c r="I79" s="13">
        <f t="shared" si="8"/>
        <v>1.3107999999999987E-3</v>
      </c>
      <c r="J79" s="13">
        <f t="shared" si="9"/>
        <v>8.2771999999999993E-6</v>
      </c>
      <c r="K79" s="7">
        <f t="shared" si="10"/>
        <v>158.36273135843024</v>
      </c>
      <c r="L79" s="31"/>
      <c r="M79" s="18">
        <f>L72/I79</f>
        <v>41959.108941104714</v>
      </c>
      <c r="N79" s="13">
        <f t="shared" si="12"/>
        <v>5.2431999999999944E-2</v>
      </c>
      <c r="O79" s="7">
        <f t="shared" si="13"/>
        <v>3020.3450442178519</v>
      </c>
    </row>
    <row r="80" spans="1:15" x14ac:dyDescent="0.55000000000000004">
      <c r="A80" s="12">
        <v>4.5</v>
      </c>
      <c r="B80" s="12">
        <v>-1.5</v>
      </c>
      <c r="C80" s="48">
        <v>4.3697400000000002</v>
      </c>
      <c r="D80" s="54">
        <v>-0.83276000000000006</v>
      </c>
      <c r="E80" s="12">
        <f t="shared" si="11"/>
        <v>5.8697400000000002</v>
      </c>
      <c r="F80" s="12">
        <f t="shared" si="7"/>
        <v>0.66723999999999994</v>
      </c>
      <c r="G80" s="12">
        <v>100</v>
      </c>
      <c r="H80" s="13">
        <v>100000</v>
      </c>
      <c r="I80" s="13">
        <f t="shared" si="8"/>
        <v>1.3025999999999982E-3</v>
      </c>
      <c r="J80" s="13">
        <f t="shared" si="9"/>
        <v>8.3276000000000014E-6</v>
      </c>
      <c r="K80" s="7">
        <f t="shared" si="10"/>
        <v>156.41961669628679</v>
      </c>
      <c r="L80" s="31"/>
      <c r="M80" s="18">
        <f>L72/I80</f>
        <v>42223.245816060247</v>
      </c>
      <c r="N80" s="13">
        <f t="shared" si="12"/>
        <v>5.2103999999999921E-2</v>
      </c>
      <c r="O80" s="7">
        <f t="shared" si="13"/>
        <v>3002.0654210096545</v>
      </c>
    </row>
    <row r="81" spans="1:15" x14ac:dyDescent="0.55000000000000004">
      <c r="A81" s="12">
        <v>5</v>
      </c>
      <c r="B81" s="12">
        <v>-1.5</v>
      </c>
      <c r="C81" s="49">
        <v>4.86754</v>
      </c>
      <c r="D81" s="55">
        <v>-0.83154000000000006</v>
      </c>
      <c r="E81" s="12">
        <f t="shared" si="11"/>
        <v>6.36754</v>
      </c>
      <c r="F81" s="12">
        <f t="shared" si="7"/>
        <v>0.66845999999999994</v>
      </c>
      <c r="G81" s="12">
        <v>100</v>
      </c>
      <c r="H81" s="13">
        <v>100000</v>
      </c>
      <c r="I81" s="13">
        <f t="shared" si="8"/>
        <v>1.3246000000000002E-3</v>
      </c>
      <c r="J81" s="13">
        <f t="shared" si="9"/>
        <v>8.3154E-6</v>
      </c>
      <c r="K81" s="7">
        <f t="shared" si="10"/>
        <v>159.29480241479666</v>
      </c>
      <c r="L81" s="31"/>
      <c r="M81" s="18">
        <f>L72/I81</f>
        <v>41521.968896270562</v>
      </c>
      <c r="N81" s="13">
        <f t="shared" si="12"/>
        <v>5.2984000000000003E-2</v>
      </c>
      <c r="O81" s="7">
        <f t="shared" si="13"/>
        <v>3006.4699232748876</v>
      </c>
    </row>
    <row r="82" spans="1:15" x14ac:dyDescent="0.55000000000000004">
      <c r="A82" s="8">
        <v>0.5</v>
      </c>
      <c r="B82" s="8">
        <v>-1</v>
      </c>
      <c r="C82" s="47">
        <v>0.50786000000000009</v>
      </c>
      <c r="D82" s="53">
        <v>-0.34672000000000003</v>
      </c>
      <c r="E82" s="8">
        <f t="shared" si="11"/>
        <v>1.50786</v>
      </c>
      <c r="F82" s="8">
        <f t="shared" si="7"/>
        <v>0.65327999999999997</v>
      </c>
      <c r="G82" s="8">
        <v>100</v>
      </c>
      <c r="H82" s="9">
        <v>100000</v>
      </c>
      <c r="I82" s="9"/>
      <c r="J82" s="9">
        <f t="shared" si="9"/>
        <v>3.4672000000000004E-6</v>
      </c>
      <c r="K82" s="5">
        <f t="shared" si="10"/>
        <v>0</v>
      </c>
      <c r="L82" s="33">
        <f>(0.0003)/(4*10^(-5))</f>
        <v>7.4999999999999991</v>
      </c>
      <c r="M82" s="16" t="e">
        <f>L82/I82</f>
        <v>#DIV/0!</v>
      </c>
      <c r="N82" s="9">
        <f t="shared" si="12"/>
        <v>0</v>
      </c>
      <c r="O82" s="5">
        <f t="shared" si="13"/>
        <v>7210.4291647438849</v>
      </c>
    </row>
    <row r="83" spans="1:15" x14ac:dyDescent="0.55000000000000004">
      <c r="A83" s="8">
        <v>1</v>
      </c>
      <c r="B83" s="8">
        <v>-1</v>
      </c>
      <c r="C83" s="48">
        <v>0.96594000000000002</v>
      </c>
      <c r="D83" s="54">
        <v>-0.35148000000000001</v>
      </c>
      <c r="E83" s="8">
        <f t="shared" si="11"/>
        <v>1.96594</v>
      </c>
      <c r="F83" s="8">
        <f t="shared" si="7"/>
        <v>0.64851999999999999</v>
      </c>
      <c r="G83" s="8">
        <v>100</v>
      </c>
      <c r="H83" s="9">
        <v>100000</v>
      </c>
      <c r="I83" s="9">
        <f t="shared" si="8"/>
        <v>3.4059999999999977E-4</v>
      </c>
      <c r="J83" s="9">
        <f t="shared" si="9"/>
        <v>3.5148000000000002E-6</v>
      </c>
      <c r="K83" s="5">
        <f t="shared" si="10"/>
        <v>96.904518038010622</v>
      </c>
      <c r="L83" s="31"/>
      <c r="M83" s="16">
        <f>L82/I83</f>
        <v>22019.964768056383</v>
      </c>
      <c r="N83" s="9">
        <f t="shared" si="12"/>
        <v>1.362399999999999E-2</v>
      </c>
      <c r="O83" s="5">
        <f t="shared" si="13"/>
        <v>7112.7802435415952</v>
      </c>
    </row>
    <row r="84" spans="1:15" x14ac:dyDescent="0.55000000000000004">
      <c r="A84" s="8">
        <v>1.5</v>
      </c>
      <c r="B84" s="8">
        <v>-1</v>
      </c>
      <c r="C84" s="48">
        <v>1.4647999999999999</v>
      </c>
      <c r="D84" s="54">
        <v>-0.35276000000000002</v>
      </c>
      <c r="E84" s="8">
        <f t="shared" si="11"/>
        <v>2.4647999999999999</v>
      </c>
      <c r="F84" s="8">
        <f t="shared" si="7"/>
        <v>0.64724000000000004</v>
      </c>
      <c r="G84" s="8">
        <v>100</v>
      </c>
      <c r="H84" s="9">
        <v>100000</v>
      </c>
      <c r="I84" s="9">
        <f t="shared" si="8"/>
        <v>3.5200000000000118E-4</v>
      </c>
      <c r="J84" s="9">
        <f t="shared" si="9"/>
        <v>3.5276000000000003E-6</v>
      </c>
      <c r="K84" s="5">
        <f t="shared" si="10"/>
        <v>99.78455607211734</v>
      </c>
      <c r="L84" s="31"/>
      <c r="M84" s="16">
        <f>L82/I84</f>
        <v>21306.818181818107</v>
      </c>
      <c r="N84" s="9">
        <f t="shared" si="12"/>
        <v>1.4080000000000047E-2</v>
      </c>
      <c r="O84" s="5">
        <f t="shared" si="13"/>
        <v>7086.9713119401295</v>
      </c>
    </row>
    <row r="85" spans="1:15" x14ac:dyDescent="0.55000000000000004">
      <c r="A85" s="8">
        <v>2</v>
      </c>
      <c r="B85" s="8">
        <v>-1</v>
      </c>
      <c r="C85" s="48">
        <v>1.9601600000000001</v>
      </c>
      <c r="D85" s="54">
        <v>-0.34950000000000003</v>
      </c>
      <c r="E85" s="8">
        <f t="shared" si="11"/>
        <v>2.9601600000000001</v>
      </c>
      <c r="F85" s="8">
        <f t="shared" si="7"/>
        <v>0.65049999999999997</v>
      </c>
      <c r="G85" s="8">
        <v>100</v>
      </c>
      <c r="H85" s="9">
        <v>100000</v>
      </c>
      <c r="I85" s="9">
        <f t="shared" si="8"/>
        <v>3.9839999999999873E-4</v>
      </c>
      <c r="J85" s="9">
        <f t="shared" si="9"/>
        <v>3.4950000000000004E-6</v>
      </c>
      <c r="K85" s="5">
        <f t="shared" si="10"/>
        <v>113.99141630901249</v>
      </c>
      <c r="L85" s="31"/>
      <c r="M85" s="16">
        <f>L82/I85</f>
        <v>18825.301204819334</v>
      </c>
      <c r="N85" s="9">
        <f t="shared" si="12"/>
        <v>1.5935999999999947E-2</v>
      </c>
      <c r="O85" s="5">
        <f t="shared" si="13"/>
        <v>7153.0758226037187</v>
      </c>
    </row>
    <row r="86" spans="1:15" x14ac:dyDescent="0.55000000000000004">
      <c r="A86" s="8">
        <v>2.5</v>
      </c>
      <c r="B86" s="8">
        <v>-1</v>
      </c>
      <c r="C86" s="48">
        <v>2.4585599999999999</v>
      </c>
      <c r="D86" s="54">
        <v>-0.35076000000000002</v>
      </c>
      <c r="E86" s="8">
        <f t="shared" si="11"/>
        <v>3.4585599999999999</v>
      </c>
      <c r="F86" s="8">
        <f t="shared" si="7"/>
        <v>0.64924000000000004</v>
      </c>
      <c r="G86" s="8">
        <v>100</v>
      </c>
      <c r="H86" s="9">
        <v>100000</v>
      </c>
      <c r="I86" s="9">
        <f t="shared" si="8"/>
        <v>4.1440000000000145E-4</v>
      </c>
      <c r="J86" s="9">
        <f t="shared" si="9"/>
        <v>3.5076000000000001E-6</v>
      </c>
      <c r="K86" s="5">
        <f t="shared" si="10"/>
        <v>118.14345991561223</v>
      </c>
      <c r="L86" s="31"/>
      <c r="M86" s="16">
        <f>L82/I86</f>
        <v>18098.455598455534</v>
      </c>
      <c r="N86" s="9">
        <f t="shared" si="12"/>
        <v>1.6576000000000056E-2</v>
      </c>
      <c r="O86" s="5">
        <f t="shared" si="13"/>
        <v>7127.3805451020644</v>
      </c>
    </row>
    <row r="87" spans="1:15" x14ac:dyDescent="0.55000000000000004">
      <c r="A87" s="8">
        <v>3</v>
      </c>
      <c r="B87" s="8">
        <v>-1</v>
      </c>
      <c r="C87" s="48">
        <v>2.9591400000000005</v>
      </c>
      <c r="D87" s="54">
        <v>-0.35103999999999996</v>
      </c>
      <c r="E87" s="8">
        <f t="shared" si="11"/>
        <v>3.9591400000000005</v>
      </c>
      <c r="F87" s="8">
        <f t="shared" si="7"/>
        <v>0.64895999999999998</v>
      </c>
      <c r="G87" s="8">
        <v>100</v>
      </c>
      <c r="H87" s="9">
        <v>100000</v>
      </c>
      <c r="I87" s="9">
        <f t="shared" si="8"/>
        <v>4.0859999999999454E-4</v>
      </c>
      <c r="J87" s="9">
        <f t="shared" si="9"/>
        <v>3.5103999999999995E-6</v>
      </c>
      <c r="K87" s="5">
        <f t="shared" si="10"/>
        <v>116.39699179580521</v>
      </c>
      <c r="L87" s="31"/>
      <c r="M87" s="16">
        <f>L82/I87</f>
        <v>18355.359765051639</v>
      </c>
      <c r="N87" s="9">
        <f t="shared" si="12"/>
        <v>1.6343999999999779E-2</v>
      </c>
      <c r="O87" s="5">
        <f t="shared" si="13"/>
        <v>7121.6955332725629</v>
      </c>
    </row>
    <row r="88" spans="1:15" x14ac:dyDescent="0.55000000000000004">
      <c r="A88" s="8">
        <v>3.5</v>
      </c>
      <c r="B88" s="8">
        <v>-1</v>
      </c>
      <c r="C88" s="48">
        <v>3.4582800000000007</v>
      </c>
      <c r="D88" s="54">
        <v>-0.35270000000000001</v>
      </c>
      <c r="E88" s="8">
        <f t="shared" si="11"/>
        <v>4.4582800000000002</v>
      </c>
      <c r="F88" s="8">
        <f t="shared" si="7"/>
        <v>0.64729999999999999</v>
      </c>
      <c r="G88" s="8">
        <v>100</v>
      </c>
      <c r="H88" s="9">
        <v>100000</v>
      </c>
      <c r="I88" s="9">
        <f t="shared" si="8"/>
        <v>4.1719999999999312E-4</v>
      </c>
      <c r="J88" s="9">
        <f t="shared" si="9"/>
        <v>3.5270000000000003E-6</v>
      </c>
      <c r="K88" s="5">
        <f t="shared" si="10"/>
        <v>118.28749645590958</v>
      </c>
      <c r="L88" s="31"/>
      <c r="M88" s="16">
        <f>L82/I88</f>
        <v>17976.989453499817</v>
      </c>
      <c r="N88" s="9">
        <f t="shared" si="12"/>
        <v>1.6687999999999724E-2</v>
      </c>
      <c r="O88" s="5">
        <f t="shared" si="13"/>
        <v>7088.1769208959458</v>
      </c>
    </row>
    <row r="89" spans="1:15" x14ac:dyDescent="0.55000000000000004">
      <c r="A89" s="8">
        <v>4</v>
      </c>
      <c r="B89" s="8">
        <v>-1</v>
      </c>
      <c r="C89" s="48">
        <v>3.9503600000000008</v>
      </c>
      <c r="D89" s="54">
        <v>-0.34664</v>
      </c>
      <c r="E89" s="8">
        <f t="shared" si="11"/>
        <v>4.9503600000000008</v>
      </c>
      <c r="F89" s="8">
        <f t="shared" si="7"/>
        <v>0.65335999999999994</v>
      </c>
      <c r="G89" s="8">
        <v>100</v>
      </c>
      <c r="H89" s="9">
        <v>100000</v>
      </c>
      <c r="I89" s="9">
        <f t="shared" si="8"/>
        <v>4.9639999999999244E-4</v>
      </c>
      <c r="J89" s="9">
        <f t="shared" si="9"/>
        <v>3.4664E-6</v>
      </c>
      <c r="K89" s="5">
        <f t="shared" si="10"/>
        <v>143.20332333256187</v>
      </c>
      <c r="L89" s="31"/>
      <c r="M89" s="16">
        <f>L82/I89</f>
        <v>15108.783239323355</v>
      </c>
      <c r="N89" s="9">
        <f t="shared" si="12"/>
        <v>1.9855999999999697E-2</v>
      </c>
      <c r="O89" s="5">
        <f t="shared" si="13"/>
        <v>7212.0932379413807</v>
      </c>
    </row>
    <row r="90" spans="1:15" x14ac:dyDescent="0.55000000000000004">
      <c r="A90" s="8">
        <v>4.5</v>
      </c>
      <c r="B90" s="8">
        <v>-1</v>
      </c>
      <c r="C90" s="48">
        <v>4.4504599999999996</v>
      </c>
      <c r="D90" s="54">
        <v>-0.34888000000000002</v>
      </c>
      <c r="E90" s="8">
        <f t="shared" si="11"/>
        <v>5.4504599999999996</v>
      </c>
      <c r="F90" s="8">
        <f t="shared" si="7"/>
        <v>0.65111999999999992</v>
      </c>
      <c r="G90" s="8">
        <v>100</v>
      </c>
      <c r="H90" s="9">
        <v>100000</v>
      </c>
      <c r="I90" s="9">
        <f t="shared" si="8"/>
        <v>4.9540000000000358E-4</v>
      </c>
      <c r="J90" s="9">
        <f t="shared" si="9"/>
        <v>3.4888000000000004E-6</v>
      </c>
      <c r="K90" s="5">
        <f t="shared" si="10"/>
        <v>141.99724833753828</v>
      </c>
      <c r="L90" s="31"/>
      <c r="M90" s="16">
        <f>L82/I90</f>
        <v>15139.281388776635</v>
      </c>
      <c r="N90" s="9">
        <f t="shared" si="12"/>
        <v>1.9816000000000143E-2</v>
      </c>
      <c r="O90" s="5">
        <f t="shared" si="13"/>
        <v>7165.7876633799588</v>
      </c>
    </row>
    <row r="91" spans="1:15" x14ac:dyDescent="0.55000000000000004">
      <c r="A91" s="8">
        <v>5</v>
      </c>
      <c r="B91" s="8">
        <v>-1</v>
      </c>
      <c r="C91" s="49">
        <v>4.9505600000000003</v>
      </c>
      <c r="D91" s="55">
        <v>-0.35149999999999998</v>
      </c>
      <c r="E91" s="8">
        <f t="shared" si="11"/>
        <v>5.9505600000000003</v>
      </c>
      <c r="F91" s="8">
        <f t="shared" si="7"/>
        <v>0.64850000000000008</v>
      </c>
      <c r="G91" s="8">
        <v>100</v>
      </c>
      <c r="H91" s="9">
        <v>100000</v>
      </c>
      <c r="I91" s="9">
        <f t="shared" si="8"/>
        <v>4.9439999999999706E-4</v>
      </c>
      <c r="J91" s="9">
        <f t="shared" si="9"/>
        <v>3.5149999999999998E-6</v>
      </c>
      <c r="K91" s="5">
        <f t="shared" si="10"/>
        <v>140.65433854907457</v>
      </c>
      <c r="L91" s="31"/>
      <c r="M91" s="16">
        <f>L82/I91</f>
        <v>15169.902912621448</v>
      </c>
      <c r="N91" s="9">
        <f t="shared" si="12"/>
        <v>1.977599999999988E-2</v>
      </c>
      <c r="O91" s="5">
        <f t="shared" si="13"/>
        <v>7112.3755334281659</v>
      </c>
    </row>
    <row r="97" spans="1:15" ht="14.7" x14ac:dyDescent="0.55000000000000004">
      <c r="A97" s="1" t="s">
        <v>14</v>
      </c>
      <c r="B97" s="1" t="s">
        <v>15</v>
      </c>
      <c r="C97" s="1" t="s">
        <v>0</v>
      </c>
      <c r="D97" s="1" t="s">
        <v>1</v>
      </c>
      <c r="E97" s="1" t="s">
        <v>9</v>
      </c>
      <c r="F97" s="1" t="s">
        <v>16</v>
      </c>
      <c r="G97" s="1" t="s">
        <v>2</v>
      </c>
      <c r="H97" s="1" t="s">
        <v>3</v>
      </c>
      <c r="I97" s="14" t="s">
        <v>4</v>
      </c>
      <c r="J97" s="1" t="s">
        <v>5</v>
      </c>
      <c r="K97" s="15" t="s">
        <v>6</v>
      </c>
      <c r="L97" s="15" t="s">
        <v>10</v>
      </c>
      <c r="M97" s="15" t="s">
        <v>13</v>
      </c>
      <c r="N97" s="14" t="s">
        <v>11</v>
      </c>
      <c r="O97" s="15" t="s">
        <v>12</v>
      </c>
    </row>
    <row r="98" spans="1:15" x14ac:dyDescent="0.55000000000000004">
      <c r="A98" s="12">
        <v>0.5</v>
      </c>
      <c r="B98" s="12">
        <v>-1.5</v>
      </c>
      <c r="C98" s="47">
        <v>0.37864000000000003</v>
      </c>
      <c r="D98" s="53">
        <v>-0.82464000000000015</v>
      </c>
      <c r="E98" s="12">
        <f t="shared" ref="E98" si="14">C98-B98</f>
        <v>1.8786400000000001</v>
      </c>
      <c r="F98" s="12">
        <f t="shared" ref="F98" si="15">D98-B98</f>
        <v>0.67535999999999985</v>
      </c>
      <c r="G98" s="12">
        <v>100</v>
      </c>
      <c r="H98" s="13">
        <v>100000</v>
      </c>
      <c r="I98" s="13">
        <f t="shared" ref="I98" si="16">(A98-C98)/G98</f>
        <v>1.2135999999999996E-3</v>
      </c>
      <c r="J98" s="13">
        <f t="shared" ref="J98" si="17">(0-D98)/H98</f>
        <v>8.2464000000000012E-6</v>
      </c>
      <c r="K98" s="7">
        <f t="shared" ref="K98" si="18">I98/J98</f>
        <v>147.16724873884354</v>
      </c>
      <c r="L98" s="15">
        <v>55</v>
      </c>
      <c r="M98" s="18">
        <f>L98/I98</f>
        <v>45319.709953856312</v>
      </c>
      <c r="N98" s="13">
        <f t="shared" ref="N98" si="19">I98/0.025</f>
        <v>4.8543999999999983E-2</v>
      </c>
      <c r="O98" s="7">
        <f t="shared" ref="O98" si="20">0.025/J98</f>
        <v>3031.6259216142798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workbookViewId="0">
      <selection activeCell="N95" sqref="N95"/>
    </sheetView>
  </sheetViews>
  <sheetFormatPr defaultColWidth="9" defaultRowHeight="14.4" x14ac:dyDescent="0.55000000000000004"/>
  <cols>
    <col min="1" max="1" width="8.83984375" style="1" bestFit="1" customWidth="1"/>
    <col min="2" max="2" width="8.578125" style="1" bestFit="1" customWidth="1"/>
    <col min="3" max="4" width="14.05078125" style="19" bestFit="1" customWidth="1"/>
    <col min="5" max="5" width="10" style="20" bestFit="1" customWidth="1"/>
    <col min="6" max="6" width="12.26171875" style="19" bestFit="1" customWidth="1"/>
    <col min="7" max="8" width="9.05078125" style="1" bestFit="1" customWidth="1"/>
    <col min="9" max="10" width="9" style="1" bestFit="1" customWidth="1"/>
    <col min="11" max="11" width="8.26171875" style="1" bestFit="1" customWidth="1"/>
    <col min="12" max="12" width="10.578125" style="15" bestFit="1" customWidth="1"/>
    <col min="13" max="13" width="9" style="15" bestFit="1" customWidth="1"/>
    <col min="14" max="14" width="13.26171875" style="14" bestFit="1" customWidth="1"/>
    <col min="15" max="15" width="12.41796875" style="15" bestFit="1" customWidth="1"/>
    <col min="16" max="16384" width="9" style="1"/>
  </cols>
  <sheetData>
    <row r="1" spans="1:15" ht="14.7" x14ac:dyDescent="0.55000000000000004">
      <c r="A1" s="1" t="s">
        <v>17</v>
      </c>
      <c r="B1" s="1" t="s">
        <v>18</v>
      </c>
      <c r="C1" s="19" t="s">
        <v>7</v>
      </c>
      <c r="D1" s="19" t="s">
        <v>8</v>
      </c>
      <c r="E1" s="20" t="s">
        <v>19</v>
      </c>
      <c r="F1" s="19" t="s">
        <v>20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5" t="s">
        <v>10</v>
      </c>
      <c r="M1" s="15" t="s">
        <v>13</v>
      </c>
      <c r="N1" s="14" t="s">
        <v>11</v>
      </c>
      <c r="O1" s="15" t="s">
        <v>12</v>
      </c>
    </row>
    <row r="2" spans="1:15" x14ac:dyDescent="0.55000000000000004">
      <c r="A2" s="8">
        <v>5</v>
      </c>
      <c r="B2" s="8">
        <v>-5</v>
      </c>
      <c r="C2" s="1">
        <v>-4.4341730499938601</v>
      </c>
      <c r="D2" s="1">
        <v>4.2789288400806802</v>
      </c>
      <c r="E2" s="26">
        <f>A2-C2</f>
        <v>9.4341730499938592</v>
      </c>
      <c r="F2" s="2">
        <f>A2-D2</f>
        <v>0.7210711599193198</v>
      </c>
      <c r="G2" s="8">
        <v>100</v>
      </c>
      <c r="H2" s="9">
        <v>100000</v>
      </c>
      <c r="I2" s="9">
        <f>(C2-B2)/G2</f>
        <v>5.658269500061399E-3</v>
      </c>
      <c r="J2" s="9">
        <f>(D2-0)/H2</f>
        <v>4.2789288400806803E-5</v>
      </c>
      <c r="K2" s="5">
        <f t="shared" ref="K2:K65" si="0">I2/J2</f>
        <v>132.2356531630171</v>
      </c>
      <c r="L2" s="33">
        <f>0.0053/(0.00004)</f>
        <v>132.5</v>
      </c>
      <c r="M2" s="16">
        <f>L2/I2</f>
        <v>23417.053570630069</v>
      </c>
      <c r="N2" s="9">
        <f>I2/0.025</f>
        <v>0.22633078000245596</v>
      </c>
      <c r="O2" s="5">
        <f>0.025/J2</f>
        <v>584.25837246521303</v>
      </c>
    </row>
    <row r="3" spans="1:15" x14ac:dyDescent="0.55000000000000004">
      <c r="A3" s="8">
        <v>5</v>
      </c>
      <c r="B3" s="8">
        <v>-4.5</v>
      </c>
      <c r="C3" s="1">
        <v>-3.9361045279799698</v>
      </c>
      <c r="D3" s="1">
        <v>4.2789288421276401</v>
      </c>
      <c r="E3" s="26">
        <f t="shared" ref="E3:E11" si="1">A3-C3</f>
        <v>8.9361045279799693</v>
      </c>
      <c r="F3" s="2">
        <f t="shared" ref="F3:F11" si="2">A3-D3</f>
        <v>0.72107115787235987</v>
      </c>
      <c r="G3" s="8">
        <v>100</v>
      </c>
      <c r="H3" s="9">
        <v>100000</v>
      </c>
      <c r="I3" s="9">
        <f t="shared" ref="I3:I11" si="3">(C3-B3)/G3</f>
        <v>5.638954720200302E-3</v>
      </c>
      <c r="J3" s="9">
        <f t="shared" ref="J3:J11" si="4">(D3-0)/H3</f>
        <v>4.2789288421276404E-5</v>
      </c>
      <c r="K3" s="5">
        <f t="shared" si="0"/>
        <v>131.78426022612723</v>
      </c>
      <c r="L3" s="31"/>
      <c r="M3" s="16">
        <f>L2/I3</f>
        <v>23497.262626590738</v>
      </c>
      <c r="N3" s="9">
        <f t="shared" ref="N3:N66" si="5">I3/0.025</f>
        <v>0.22555818880801207</v>
      </c>
      <c r="O3" s="5">
        <f t="shared" ref="O3:O66" si="6">0.025/J3</f>
        <v>584.25837218571473</v>
      </c>
    </row>
    <row r="4" spans="1:15" x14ac:dyDescent="0.55000000000000004">
      <c r="A4" s="8">
        <v>5</v>
      </c>
      <c r="B4" s="8">
        <v>-4</v>
      </c>
      <c r="C4" s="1">
        <v>-3.43803600591011</v>
      </c>
      <c r="D4" s="1">
        <v>4.2789288441444304</v>
      </c>
      <c r="E4" s="26">
        <f t="shared" si="1"/>
        <v>8.43803600591011</v>
      </c>
      <c r="F4" s="2">
        <f t="shared" si="2"/>
        <v>0.72107115585556958</v>
      </c>
      <c r="G4" s="8">
        <v>100</v>
      </c>
      <c r="H4" s="9">
        <v>100000</v>
      </c>
      <c r="I4" s="9">
        <f t="shared" si="3"/>
        <v>5.6196399408988996E-3</v>
      </c>
      <c r="J4" s="9">
        <f t="shared" si="4"/>
        <v>4.2789288441444306E-5</v>
      </c>
      <c r="K4" s="5">
        <f t="shared" si="0"/>
        <v>131.33286730367547</v>
      </c>
      <c r="L4" s="31"/>
      <c r="M4" s="16">
        <f>L2/I4</f>
        <v>23578.023039462867</v>
      </c>
      <c r="N4" s="9">
        <f t="shared" si="5"/>
        <v>0.22478559763595599</v>
      </c>
      <c r="O4" s="5">
        <f t="shared" si="6"/>
        <v>584.25837191033577</v>
      </c>
    </row>
    <row r="5" spans="1:15" x14ac:dyDescent="0.55000000000000004">
      <c r="A5" s="8">
        <v>5</v>
      </c>
      <c r="B5" s="8">
        <v>-3.5</v>
      </c>
      <c r="C5" s="1">
        <v>-2.93996748377868</v>
      </c>
      <c r="D5" s="1">
        <v>4.2789288461306301</v>
      </c>
      <c r="E5" s="26">
        <f t="shared" si="1"/>
        <v>7.9399674837786804</v>
      </c>
      <c r="F5" s="2">
        <f t="shared" si="2"/>
        <v>0.72107115386936993</v>
      </c>
      <c r="G5" s="8">
        <v>100</v>
      </c>
      <c r="H5" s="9">
        <v>100000</v>
      </c>
      <c r="I5" s="9">
        <f t="shared" si="3"/>
        <v>5.6003251622132001E-3</v>
      </c>
      <c r="J5" s="9">
        <f t="shared" si="4"/>
        <v>4.2789288461306301E-5</v>
      </c>
      <c r="K5" s="5">
        <f t="shared" si="0"/>
        <v>130.88147439697411</v>
      </c>
      <c r="L5" s="31"/>
      <c r="M5" s="16">
        <f>L2/I5</f>
        <v>23659.340513656378</v>
      </c>
      <c r="N5" s="9">
        <f t="shared" si="5"/>
        <v>0.22401300648852798</v>
      </c>
      <c r="O5" s="5">
        <f t="shared" si="6"/>
        <v>584.25837163913388</v>
      </c>
    </row>
    <row r="6" spans="1:15" x14ac:dyDescent="0.55000000000000004">
      <c r="A6" s="8">
        <v>5</v>
      </c>
      <c r="B6" s="8">
        <v>-3</v>
      </c>
      <c r="C6" s="1">
        <v>-2.4418989615865101</v>
      </c>
      <c r="D6" s="1">
        <v>4.2789288480862604</v>
      </c>
      <c r="E6" s="26">
        <f t="shared" si="1"/>
        <v>7.4418989615865101</v>
      </c>
      <c r="F6" s="2">
        <f t="shared" si="2"/>
        <v>0.72107115191373961</v>
      </c>
      <c r="G6" s="8">
        <v>100</v>
      </c>
      <c r="H6" s="9">
        <v>100000</v>
      </c>
      <c r="I6" s="9">
        <f t="shared" si="3"/>
        <v>5.5810103841348992E-3</v>
      </c>
      <c r="J6" s="9">
        <f t="shared" si="4"/>
        <v>4.2789288480862604E-5</v>
      </c>
      <c r="K6" s="5">
        <f t="shared" si="0"/>
        <v>130.43008150581872</v>
      </c>
      <c r="L6" s="31"/>
      <c r="M6" s="16">
        <f>L2/I6</f>
        <v>23741.220832818526</v>
      </c>
      <c r="N6" s="9">
        <f t="shared" si="5"/>
        <v>0.22324041536539596</v>
      </c>
      <c r="O6" s="5">
        <f t="shared" si="6"/>
        <v>584.25837137210601</v>
      </c>
    </row>
    <row r="7" spans="1:15" x14ac:dyDescent="0.55000000000000004">
      <c r="A7" s="8">
        <v>5</v>
      </c>
      <c r="B7" s="8">
        <v>-2.5</v>
      </c>
      <c r="C7" s="1">
        <v>-1.9438304393402099</v>
      </c>
      <c r="D7" s="1">
        <v>4.2789288500117504</v>
      </c>
      <c r="E7" s="26">
        <f t="shared" si="1"/>
        <v>6.9438304393402097</v>
      </c>
      <c r="F7" s="2">
        <f t="shared" si="2"/>
        <v>0.72107114998824962</v>
      </c>
      <c r="G7" s="8">
        <v>100</v>
      </c>
      <c r="H7" s="9">
        <v>100000</v>
      </c>
      <c r="I7" s="9">
        <f t="shared" si="3"/>
        <v>5.5616956065979006E-3</v>
      </c>
      <c r="J7" s="9">
        <f t="shared" si="4"/>
        <v>4.2789288500117506E-5</v>
      </c>
      <c r="K7" s="5">
        <f t="shared" si="0"/>
        <v>129.97868862864189</v>
      </c>
      <c r="L7" s="31"/>
      <c r="M7" s="16">
        <f>L2/I7</f>
        <v>23823.669861186539</v>
      </c>
      <c r="N7" s="9">
        <f t="shared" si="5"/>
        <v>0.22246782426391601</v>
      </c>
      <c r="O7" s="5">
        <f t="shared" si="6"/>
        <v>584.25837110919349</v>
      </c>
    </row>
    <row r="8" spans="1:15" x14ac:dyDescent="0.55000000000000004">
      <c r="A8" s="8">
        <v>5</v>
      </c>
      <c r="B8" s="8">
        <v>-2</v>
      </c>
      <c r="C8" s="1">
        <v>-1.44576191703252</v>
      </c>
      <c r="D8" s="1">
        <v>4.27892885190656</v>
      </c>
      <c r="E8" s="26">
        <f t="shared" si="1"/>
        <v>6.4457619170325202</v>
      </c>
      <c r="F8" s="2">
        <f t="shared" si="2"/>
        <v>0.72107114809343997</v>
      </c>
      <c r="G8" s="8">
        <v>100</v>
      </c>
      <c r="H8" s="9">
        <v>100000</v>
      </c>
      <c r="I8" s="9">
        <f t="shared" si="3"/>
        <v>5.5423808296747997E-3</v>
      </c>
      <c r="J8" s="9">
        <f t="shared" si="4"/>
        <v>4.2789288519065599E-5</v>
      </c>
      <c r="K8" s="5">
        <f t="shared" si="0"/>
        <v>129.52729576714705</v>
      </c>
      <c r="L8" s="31"/>
      <c r="M8" s="16">
        <f>L2/I8</f>
        <v>23906.693544148689</v>
      </c>
      <c r="N8" s="9">
        <f t="shared" si="5"/>
        <v>0.22169523318699197</v>
      </c>
      <c r="O8" s="5">
        <f t="shared" si="6"/>
        <v>584.25837085047033</v>
      </c>
    </row>
    <row r="9" spans="1:15" x14ac:dyDescent="0.55000000000000004">
      <c r="A9" s="8">
        <v>5</v>
      </c>
      <c r="B9" s="8">
        <v>-1.5</v>
      </c>
      <c r="C9" s="1">
        <v>-0.94769339466977898</v>
      </c>
      <c r="D9" s="1">
        <v>4.2789288537710997</v>
      </c>
      <c r="E9" s="26">
        <f t="shared" si="1"/>
        <v>5.9476933946697788</v>
      </c>
      <c r="F9" s="2">
        <f t="shared" si="2"/>
        <v>0.72107114622890034</v>
      </c>
      <c r="G9" s="8">
        <v>100</v>
      </c>
      <c r="H9" s="9">
        <v>100000</v>
      </c>
      <c r="I9" s="9">
        <f t="shared" si="3"/>
        <v>5.52306605330221E-3</v>
      </c>
      <c r="J9" s="9">
        <f t="shared" si="4"/>
        <v>4.2789288537710997E-5</v>
      </c>
      <c r="K9" s="5">
        <f t="shared" si="0"/>
        <v>129.07590291983072</v>
      </c>
      <c r="L9" s="31"/>
      <c r="M9" s="16">
        <f>L2/I9</f>
        <v>23990.297910845915</v>
      </c>
      <c r="N9" s="9">
        <f t="shared" si="5"/>
        <v>0.2209226421320884</v>
      </c>
      <c r="O9" s="5">
        <f t="shared" si="6"/>
        <v>584.25837059588025</v>
      </c>
    </row>
    <row r="10" spans="1:15" x14ac:dyDescent="0.55000000000000004">
      <c r="A10" s="8">
        <v>5</v>
      </c>
      <c r="B10" s="8">
        <v>-1</v>
      </c>
      <c r="C10" s="1">
        <v>-0.44962487225229297</v>
      </c>
      <c r="D10" s="1">
        <v>4.2789288556053604</v>
      </c>
      <c r="E10" s="26">
        <f t="shared" si="1"/>
        <v>5.4496248722522926</v>
      </c>
      <c r="F10" s="2">
        <f t="shared" si="2"/>
        <v>0.7210711443946396</v>
      </c>
      <c r="G10" s="8">
        <v>100</v>
      </c>
      <c r="H10" s="9">
        <v>100000</v>
      </c>
      <c r="I10" s="9">
        <f t="shared" si="3"/>
        <v>5.5037512774770703E-3</v>
      </c>
      <c r="J10" s="9">
        <f t="shared" si="4"/>
        <v>4.2789288556053604E-5</v>
      </c>
      <c r="K10" s="5">
        <f t="shared" si="0"/>
        <v>128.62451008661205</v>
      </c>
      <c r="L10" s="31"/>
      <c r="M10" s="16">
        <f>L2/I10</f>
        <v>24074.489074793048</v>
      </c>
      <c r="N10" s="9">
        <f t="shared" si="5"/>
        <v>0.22015005109908281</v>
      </c>
      <c r="O10" s="5">
        <f t="shared" si="6"/>
        <v>584.25837034542451</v>
      </c>
    </row>
    <row r="11" spans="1:15" x14ac:dyDescent="0.55000000000000004">
      <c r="A11" s="8">
        <v>5</v>
      </c>
      <c r="B11" s="8">
        <v>-0.5</v>
      </c>
      <c r="C11" s="1">
        <v>4.8443650224504697E-2</v>
      </c>
      <c r="D11" s="1">
        <v>4.2789288574089701</v>
      </c>
      <c r="E11" s="26">
        <f t="shared" si="1"/>
        <v>4.9515563497754957</v>
      </c>
      <c r="F11" s="2">
        <f t="shared" si="2"/>
        <v>0.72107114259102989</v>
      </c>
      <c r="G11" s="8">
        <v>100</v>
      </c>
      <c r="H11" s="9">
        <v>100000</v>
      </c>
      <c r="I11" s="9">
        <f t="shared" si="3"/>
        <v>5.4844365022450473E-3</v>
      </c>
      <c r="J11" s="9">
        <f t="shared" si="4"/>
        <v>4.27892885740897E-5</v>
      </c>
      <c r="K11" s="5">
        <f t="shared" si="0"/>
        <v>128.17311726855985</v>
      </c>
      <c r="L11" s="31"/>
      <c r="M11" s="16">
        <f>L2/I11</f>
        <v>24159.273235411019</v>
      </c>
      <c r="N11" s="9">
        <f t="shared" si="5"/>
        <v>0.21937746008980188</v>
      </c>
      <c r="O11" s="5">
        <f t="shared" si="6"/>
        <v>584.25837009915404</v>
      </c>
    </row>
    <row r="12" spans="1:15" x14ac:dyDescent="0.55000000000000004">
      <c r="A12" s="21">
        <v>4.5</v>
      </c>
      <c r="B12" s="21">
        <v>-5</v>
      </c>
      <c r="C12" s="1">
        <v>-4.4993280626158301</v>
      </c>
      <c r="D12" s="1">
        <v>3.78351064569791</v>
      </c>
      <c r="E12" s="27">
        <f>A12-C12</f>
        <v>8.999328062615831</v>
      </c>
      <c r="F12" s="25">
        <f>A12-D12</f>
        <v>0.71648935430209004</v>
      </c>
      <c r="G12" s="21">
        <v>100</v>
      </c>
      <c r="H12" s="22">
        <v>100000</v>
      </c>
      <c r="I12" s="22">
        <f>(C12-B12)/G12</f>
        <v>5.0067193738416995E-3</v>
      </c>
      <c r="J12" s="22">
        <f>(D12-0)/H12</f>
        <v>3.7835106456979103E-5</v>
      </c>
      <c r="K12" s="23">
        <f t="shared" si="0"/>
        <v>132.32999303265223</v>
      </c>
      <c r="L12" s="34">
        <f>0.0047/(0.00003)</f>
        <v>156.66666666666666</v>
      </c>
      <c r="M12" s="24">
        <f>L12/I12</f>
        <v>31291.281769294561</v>
      </c>
      <c r="N12" s="22">
        <f t="shared" si="5"/>
        <v>0.20026877495366796</v>
      </c>
      <c r="O12" s="23">
        <f t="shared" si="6"/>
        <v>660.76198380534686</v>
      </c>
    </row>
    <row r="13" spans="1:15" x14ac:dyDescent="0.55000000000000004">
      <c r="A13" s="21">
        <v>4.5</v>
      </c>
      <c r="B13" s="21">
        <v>-4.5</v>
      </c>
      <c r="C13" s="1">
        <v>-4.0010415061986402</v>
      </c>
      <c r="D13" s="1">
        <v>3.7835106476504499</v>
      </c>
      <c r="E13" s="27">
        <f t="shared" ref="E13:E21" si="7">A13-C13</f>
        <v>8.5010415061986393</v>
      </c>
      <c r="F13" s="25">
        <f t="shared" ref="F13:F21" si="8">A13-D13</f>
        <v>0.71648935234955013</v>
      </c>
      <c r="G13" s="21">
        <v>100</v>
      </c>
      <c r="H13" s="22">
        <v>100000</v>
      </c>
      <c r="I13" s="22">
        <f t="shared" ref="I13:I21" si="9">(C13-B13)/G13</f>
        <v>4.9895849380135983E-3</v>
      </c>
      <c r="J13" s="22">
        <f t="shared" ref="J13:J21" si="10">(D13-0)/H13</f>
        <v>3.7835106476504499E-5</v>
      </c>
      <c r="K13" s="23">
        <f t="shared" si="0"/>
        <v>131.87712161222851</v>
      </c>
      <c r="L13" s="36"/>
      <c r="M13" s="24">
        <f>L12/I13</f>
        <v>31398.737292372291</v>
      </c>
      <c r="N13" s="22">
        <f t="shared" si="5"/>
        <v>0.19958339752054391</v>
      </c>
      <c r="O13" s="23">
        <f t="shared" si="6"/>
        <v>660.76198346435035</v>
      </c>
    </row>
    <row r="14" spans="1:15" x14ac:dyDescent="0.55000000000000004">
      <c r="A14" s="21">
        <v>4.5</v>
      </c>
      <c r="B14" s="21">
        <v>-4</v>
      </c>
      <c r="C14" s="1">
        <v>-3.5027549494466399</v>
      </c>
      <c r="D14" s="1">
        <v>3.7835106493376101</v>
      </c>
      <c r="E14" s="27">
        <f t="shared" si="7"/>
        <v>8.0027549494466399</v>
      </c>
      <c r="F14" s="25">
        <f t="shared" si="8"/>
        <v>0.71648935066238995</v>
      </c>
      <c r="G14" s="21">
        <v>100</v>
      </c>
      <c r="H14" s="22">
        <v>100000</v>
      </c>
      <c r="I14" s="22">
        <f t="shared" si="9"/>
        <v>4.9724505055336009E-3</v>
      </c>
      <c r="J14" s="22">
        <f t="shared" si="10"/>
        <v>3.7835106493376101E-5</v>
      </c>
      <c r="K14" s="23">
        <f t="shared" si="0"/>
        <v>131.42425028998244</v>
      </c>
      <c r="L14" s="36"/>
      <c r="M14" s="24">
        <f>L12/I14</f>
        <v>31506.933350532068</v>
      </c>
      <c r="N14" s="22">
        <f t="shared" si="5"/>
        <v>0.19889802022134404</v>
      </c>
      <c r="O14" s="23">
        <f t="shared" si="6"/>
        <v>660.76198316970044</v>
      </c>
    </row>
    <row r="15" spans="1:15" x14ac:dyDescent="0.55000000000000004">
      <c r="A15" s="21">
        <v>4.5</v>
      </c>
      <c r="B15" s="21">
        <v>-3.5</v>
      </c>
      <c r="C15" s="1">
        <v>-3.0044683923689002</v>
      </c>
      <c r="D15" s="1">
        <v>3.78351065075982</v>
      </c>
      <c r="E15" s="27">
        <f t="shared" si="7"/>
        <v>7.5044683923689002</v>
      </c>
      <c r="F15" s="25">
        <f t="shared" si="8"/>
        <v>0.71648934924018004</v>
      </c>
      <c r="G15" s="21">
        <v>100</v>
      </c>
      <c r="H15" s="22">
        <v>100000</v>
      </c>
      <c r="I15" s="22">
        <f t="shared" si="9"/>
        <v>4.9553160763109979E-3</v>
      </c>
      <c r="J15" s="22">
        <f t="shared" si="10"/>
        <v>3.7835106507598198E-5</v>
      </c>
      <c r="K15" s="23">
        <f t="shared" si="0"/>
        <v>130.9713790634064</v>
      </c>
      <c r="L15" s="36"/>
      <c r="M15" s="24">
        <f>L12/I15</f>
        <v>31615.877625973295</v>
      </c>
      <c r="N15" s="22">
        <f t="shared" si="5"/>
        <v>0.19821264305243991</v>
      </c>
      <c r="O15" s="23">
        <f t="shared" si="6"/>
        <v>660.7619829213221</v>
      </c>
    </row>
    <row r="16" spans="1:15" x14ac:dyDescent="0.55000000000000004">
      <c r="A16" s="21">
        <v>4.5</v>
      </c>
      <c r="B16" s="21">
        <v>-3</v>
      </c>
      <c r="C16" s="1">
        <v>-2.5061818349661098</v>
      </c>
      <c r="D16" s="1">
        <v>3.7835106519168802</v>
      </c>
      <c r="E16" s="27">
        <f t="shared" si="7"/>
        <v>7.0061818349661102</v>
      </c>
      <c r="F16" s="25">
        <f t="shared" si="8"/>
        <v>0.71648934808311981</v>
      </c>
      <c r="G16" s="21">
        <v>100</v>
      </c>
      <c r="H16" s="22">
        <v>100000</v>
      </c>
      <c r="I16" s="22">
        <f t="shared" si="9"/>
        <v>4.9381816503389023E-3</v>
      </c>
      <c r="J16" s="22">
        <f t="shared" si="10"/>
        <v>3.7835106519168804E-5</v>
      </c>
      <c r="K16" s="23">
        <f t="shared" si="0"/>
        <v>130.51850793223005</v>
      </c>
      <c r="L16" s="36"/>
      <c r="M16" s="24">
        <f>L12/I16</f>
        <v>31725.577906984199</v>
      </c>
      <c r="N16" s="22">
        <f t="shared" si="5"/>
        <v>0.19752726601355608</v>
      </c>
      <c r="O16" s="23">
        <f t="shared" si="6"/>
        <v>660.76198271925</v>
      </c>
    </row>
    <row r="17" spans="1:15" x14ac:dyDescent="0.55000000000000004">
      <c r="A17" s="21">
        <v>4.5</v>
      </c>
      <c r="B17" s="21">
        <v>-2.5</v>
      </c>
      <c r="C17" s="1">
        <v>-2.0078952772422798</v>
      </c>
      <c r="D17" s="1">
        <v>3.78351065280884</v>
      </c>
      <c r="E17" s="27">
        <f t="shared" si="7"/>
        <v>6.5078952772422802</v>
      </c>
      <c r="F17" s="25">
        <f t="shared" si="8"/>
        <v>0.71648934719115998</v>
      </c>
      <c r="G17" s="21">
        <v>100</v>
      </c>
      <c r="H17" s="22">
        <v>100000</v>
      </c>
      <c r="I17" s="22">
        <f t="shared" si="9"/>
        <v>4.9210472275772023E-3</v>
      </c>
      <c r="J17" s="22">
        <f t="shared" si="10"/>
        <v>3.7835106528088399E-5</v>
      </c>
      <c r="K17" s="23">
        <f t="shared" si="0"/>
        <v>130.06563689529634</v>
      </c>
      <c r="L17" s="36"/>
      <c r="M17" s="24">
        <f>L12/I17</f>
        <v>31836.042090536681</v>
      </c>
      <c r="N17" s="22">
        <f t="shared" si="5"/>
        <v>0.19684188910308809</v>
      </c>
      <c r="O17" s="23">
        <f t="shared" si="6"/>
        <v>660.76198256347595</v>
      </c>
    </row>
    <row r="18" spans="1:15" x14ac:dyDescent="0.55000000000000004">
      <c r="A18" s="21">
        <v>4.5</v>
      </c>
      <c r="B18" s="21">
        <v>-2</v>
      </c>
      <c r="C18" s="1">
        <v>-1.50960871919757</v>
      </c>
      <c r="D18" s="1">
        <v>3.7835106534354401</v>
      </c>
      <c r="E18" s="27">
        <f t="shared" si="7"/>
        <v>6.00960871919757</v>
      </c>
      <c r="F18" s="25">
        <f t="shared" si="8"/>
        <v>0.71648934656455987</v>
      </c>
      <c r="G18" s="21">
        <v>100</v>
      </c>
      <c r="H18" s="22">
        <v>100000</v>
      </c>
      <c r="I18" s="22">
        <f t="shared" si="9"/>
        <v>4.9039128080243001E-3</v>
      </c>
      <c r="J18" s="22">
        <f t="shared" si="10"/>
        <v>3.7835106534354404E-5</v>
      </c>
      <c r="K18" s="23">
        <f t="shared" si="0"/>
        <v>129.61276595247674</v>
      </c>
      <c r="L18" s="36"/>
      <c r="M18" s="24">
        <f>L12/I18</f>
        <v>31947.278183721395</v>
      </c>
      <c r="N18" s="22">
        <f t="shared" si="5"/>
        <v>0.196156512320972</v>
      </c>
      <c r="O18" s="23">
        <f t="shared" si="6"/>
        <v>660.76198245404487</v>
      </c>
    </row>
    <row r="19" spans="1:15" x14ac:dyDescent="0.55000000000000004">
      <c r="A19" s="21">
        <v>4.5</v>
      </c>
      <c r="B19" s="21">
        <v>-1.5</v>
      </c>
      <c r="C19" s="1">
        <v>-1.01132216083867</v>
      </c>
      <c r="D19" s="1">
        <v>3.7835106537969398</v>
      </c>
      <c r="E19" s="27">
        <f t="shared" si="7"/>
        <v>5.5113221608386702</v>
      </c>
      <c r="F19" s="25">
        <f t="shared" si="8"/>
        <v>0.71648934620306015</v>
      </c>
      <c r="G19" s="21">
        <v>100</v>
      </c>
      <c r="H19" s="22">
        <v>100000</v>
      </c>
      <c r="I19" s="22">
        <f t="shared" si="9"/>
        <v>4.8867783916133004E-3</v>
      </c>
      <c r="J19" s="22">
        <f t="shared" si="10"/>
        <v>3.7835106537969398E-5</v>
      </c>
      <c r="K19" s="23">
        <f t="shared" si="0"/>
        <v>129.159895101899</v>
      </c>
      <c r="L19" s="36"/>
      <c r="M19" s="24">
        <f>L12/I19</f>
        <v>32059.294306354946</v>
      </c>
      <c r="N19" s="22">
        <f t="shared" si="5"/>
        <v>0.195471135664532</v>
      </c>
      <c r="O19" s="23">
        <f t="shared" si="6"/>
        <v>660.76198239091161</v>
      </c>
    </row>
    <row r="20" spans="1:15" x14ac:dyDescent="0.55000000000000004">
      <c r="A20" s="21">
        <v>4.5</v>
      </c>
      <c r="B20" s="21">
        <v>-1</v>
      </c>
      <c r="C20" s="1">
        <v>-0.51303560216802002</v>
      </c>
      <c r="D20" s="1">
        <v>3.7835106538932699</v>
      </c>
      <c r="E20" s="27">
        <f t="shared" si="7"/>
        <v>5.0130356021680198</v>
      </c>
      <c r="F20" s="25">
        <f t="shared" si="8"/>
        <v>0.7164893461067301</v>
      </c>
      <c r="G20" s="21">
        <v>100</v>
      </c>
      <c r="H20" s="22">
        <v>100000</v>
      </c>
      <c r="I20" s="22">
        <f t="shared" si="9"/>
        <v>4.8696439783198001E-3</v>
      </c>
      <c r="J20" s="22">
        <f t="shared" si="10"/>
        <v>3.7835106538932698E-5</v>
      </c>
      <c r="K20" s="23">
        <f t="shared" si="0"/>
        <v>128.70702434282532</v>
      </c>
      <c r="L20" s="36"/>
      <c r="M20" s="24">
        <f>L12/I20</f>
        <v>32172.098692258445</v>
      </c>
      <c r="N20" s="22">
        <f t="shared" si="5"/>
        <v>0.194785759132792</v>
      </c>
      <c r="O20" s="23">
        <f t="shared" si="6"/>
        <v>660.76198237408835</v>
      </c>
    </row>
    <row r="21" spans="1:15" x14ac:dyDescent="0.55000000000000004">
      <c r="A21" s="21">
        <v>4.5</v>
      </c>
      <c r="B21" s="21">
        <v>-0.5</v>
      </c>
      <c r="C21" s="1">
        <v>-1.47490531239467E-2</v>
      </c>
      <c r="D21" s="1">
        <v>3.7835106623552899</v>
      </c>
      <c r="E21" s="27">
        <f t="shared" si="7"/>
        <v>4.5147490531239471</v>
      </c>
      <c r="F21" s="25">
        <f t="shared" si="8"/>
        <v>0.71648933764471012</v>
      </c>
      <c r="G21" s="21">
        <v>100</v>
      </c>
      <c r="H21" s="22">
        <v>100000</v>
      </c>
      <c r="I21" s="22">
        <f t="shared" si="9"/>
        <v>4.8525094687605326E-3</v>
      </c>
      <c r="J21" s="22">
        <f t="shared" si="10"/>
        <v>3.7835106623552902E-5</v>
      </c>
      <c r="K21" s="23">
        <f t="shared" si="0"/>
        <v>128.2541507558426</v>
      </c>
      <c r="L21" s="36"/>
      <c r="M21" s="24">
        <f>L12/I21</f>
        <v>32285.700352622647</v>
      </c>
      <c r="N21" s="22">
        <f t="shared" si="5"/>
        <v>0.1941003787504213</v>
      </c>
      <c r="O21" s="23">
        <f t="shared" si="6"/>
        <v>660.76198089625939</v>
      </c>
    </row>
    <row r="22" spans="1:15" x14ac:dyDescent="0.55000000000000004">
      <c r="A22" s="10">
        <v>4</v>
      </c>
      <c r="B22" s="10">
        <v>-5</v>
      </c>
      <c r="C22" s="1">
        <v>-4.5648615347638302</v>
      </c>
      <c r="D22" s="1">
        <v>3.2887327339508898</v>
      </c>
      <c r="E22" s="28">
        <f>A22-C22</f>
        <v>8.5648615347638302</v>
      </c>
      <c r="F22" s="3">
        <f>A22-D22</f>
        <v>0.71126726604911017</v>
      </c>
      <c r="G22" s="10">
        <v>100</v>
      </c>
      <c r="H22" s="11">
        <v>100000</v>
      </c>
      <c r="I22" s="11">
        <f>(C22-B22)/G22</f>
        <v>4.3513846523616983E-3</v>
      </c>
      <c r="J22" s="11">
        <f>(D22-0)/H22</f>
        <v>3.2887327339508898E-5</v>
      </c>
      <c r="K22" s="6">
        <f t="shared" si="0"/>
        <v>132.31189653815989</v>
      </c>
      <c r="L22" s="30">
        <f>0.0041/(0.00003)</f>
        <v>136.66666666666669</v>
      </c>
      <c r="M22" s="17">
        <f>L22/I22</f>
        <v>31407.627131398589</v>
      </c>
      <c r="N22" s="11">
        <f t="shared" si="5"/>
        <v>0.17405538609446791</v>
      </c>
      <c r="O22" s="6">
        <f t="shared" si="6"/>
        <v>760.17122771683773</v>
      </c>
    </row>
    <row r="23" spans="1:15" x14ac:dyDescent="0.55000000000000004">
      <c r="A23" s="10">
        <v>4</v>
      </c>
      <c r="B23" s="10">
        <v>-4.5</v>
      </c>
      <c r="C23" s="1">
        <v>-4.0663543452909696</v>
      </c>
      <c r="D23" s="1">
        <v>3.2887327366927201</v>
      </c>
      <c r="E23" s="28">
        <f t="shared" ref="E23:E31" si="11">A23-C23</f>
        <v>8.0663543452909696</v>
      </c>
      <c r="F23" s="3">
        <f t="shared" ref="F23:F31" si="12">A23-D23</f>
        <v>0.71126726330727985</v>
      </c>
      <c r="G23" s="10">
        <v>100</v>
      </c>
      <c r="H23" s="11">
        <v>100000</v>
      </c>
      <c r="I23" s="11">
        <f t="shared" ref="I23:I31" si="13">(C23-B23)/G23</f>
        <v>4.3364565470903034E-3</v>
      </c>
      <c r="J23" s="11">
        <f t="shared" ref="J23:J31" si="14">(D23-0)/H23</f>
        <v>3.2887327366927198E-5</v>
      </c>
      <c r="K23" s="6">
        <f t="shared" si="0"/>
        <v>131.85797978376365</v>
      </c>
      <c r="L23" s="35"/>
      <c r="M23" s="17">
        <f>L22/I23</f>
        <v>31515.746827526254</v>
      </c>
      <c r="N23" s="11">
        <f t="shared" si="5"/>
        <v>0.17345826188361213</v>
      </c>
      <c r="O23" s="6">
        <f t="shared" si="6"/>
        <v>760.17122708307988</v>
      </c>
    </row>
    <row r="24" spans="1:15" x14ac:dyDescent="0.55000000000000004">
      <c r="A24" s="10">
        <v>4</v>
      </c>
      <c r="B24" s="10">
        <v>-4</v>
      </c>
      <c r="C24" s="1">
        <v>-3.56784715384727</v>
      </c>
      <c r="D24" s="1">
        <v>3.2887327371478698</v>
      </c>
      <c r="E24" s="28">
        <f t="shared" si="11"/>
        <v>7.5678471538472696</v>
      </c>
      <c r="F24" s="3">
        <f t="shared" si="12"/>
        <v>0.71126726285213016</v>
      </c>
      <c r="G24" s="10">
        <v>100</v>
      </c>
      <c r="H24" s="11">
        <v>100000</v>
      </c>
      <c r="I24" s="11">
        <f t="shared" si="13"/>
        <v>4.3215284615272997E-3</v>
      </c>
      <c r="J24" s="11">
        <f t="shared" si="14"/>
        <v>3.2887327371478699E-5</v>
      </c>
      <c r="K24" s="6">
        <f t="shared" si="0"/>
        <v>131.40406372076055</v>
      </c>
      <c r="L24" s="35"/>
      <c r="M24" s="17">
        <f>L22/I24</f>
        <v>31624.613347650247</v>
      </c>
      <c r="N24" s="11">
        <f t="shared" si="5"/>
        <v>0.17286113846109197</v>
      </c>
      <c r="O24" s="6">
        <f t="shared" si="6"/>
        <v>760.17122697787454</v>
      </c>
    </row>
    <row r="25" spans="1:15" x14ac:dyDescent="0.55000000000000004">
      <c r="A25" s="10">
        <v>4</v>
      </c>
      <c r="B25" s="10">
        <v>-3.5</v>
      </c>
      <c r="C25" s="1">
        <v>-3.06933996045063</v>
      </c>
      <c r="D25" s="1">
        <v>3.28873273531558</v>
      </c>
      <c r="E25" s="28">
        <f t="shared" si="11"/>
        <v>7.0693399604506304</v>
      </c>
      <c r="F25" s="3">
        <f t="shared" si="12"/>
        <v>0.71126726468442003</v>
      </c>
      <c r="G25" s="10">
        <v>100</v>
      </c>
      <c r="H25" s="11">
        <v>100000</v>
      </c>
      <c r="I25" s="11">
        <f t="shared" si="13"/>
        <v>4.3066003954937001E-3</v>
      </c>
      <c r="J25" s="11">
        <f t="shared" si="14"/>
        <v>3.2887327353155798E-5</v>
      </c>
      <c r="K25" s="6">
        <f t="shared" si="0"/>
        <v>130.95014834279161</v>
      </c>
      <c r="L25" s="35"/>
      <c r="M25" s="17">
        <f>L22/I25</f>
        <v>31734.234457803577</v>
      </c>
      <c r="N25" s="11">
        <f t="shared" si="5"/>
        <v>0.17226401581974798</v>
      </c>
      <c r="O25" s="6">
        <f t="shared" si="6"/>
        <v>760.17122740139769</v>
      </c>
    </row>
    <row r="26" spans="1:15" x14ac:dyDescent="0.55000000000000004">
      <c r="A26" s="10">
        <v>4</v>
      </c>
      <c r="B26" s="10">
        <v>-3</v>
      </c>
      <c r="C26" s="1">
        <v>-2.5708327651204499</v>
      </c>
      <c r="D26" s="1">
        <v>3.2887327311952599</v>
      </c>
      <c r="E26" s="28">
        <f t="shared" si="11"/>
        <v>6.5708327651204499</v>
      </c>
      <c r="F26" s="3">
        <f t="shared" si="12"/>
        <v>0.71126726880474012</v>
      </c>
      <c r="G26" s="10">
        <v>100</v>
      </c>
      <c r="H26" s="11">
        <v>100000</v>
      </c>
      <c r="I26" s="11">
        <f t="shared" si="13"/>
        <v>4.291672348795501E-3</v>
      </c>
      <c r="J26" s="11">
        <f t="shared" si="14"/>
        <v>3.2887327311952599E-5</v>
      </c>
      <c r="K26" s="6">
        <f t="shared" si="0"/>
        <v>130.49623364303403</v>
      </c>
      <c r="L26" s="35"/>
      <c r="M26" s="17">
        <f>L22/I26</f>
        <v>31844.618032181206</v>
      </c>
      <c r="N26" s="11">
        <f t="shared" si="5"/>
        <v>0.17166689395182003</v>
      </c>
      <c r="O26" s="6">
        <f t="shared" si="6"/>
        <v>760.17122835378541</v>
      </c>
    </row>
    <row r="27" spans="1:15" x14ac:dyDescent="0.55000000000000004">
      <c r="A27" s="10">
        <v>4</v>
      </c>
      <c r="B27" s="10">
        <v>-2.5</v>
      </c>
      <c r="C27" s="1">
        <v>-2.0723255678779999</v>
      </c>
      <c r="D27" s="1">
        <v>3.28873272478645</v>
      </c>
      <c r="E27" s="28">
        <f t="shared" si="11"/>
        <v>6.0723255678779999</v>
      </c>
      <c r="F27" s="3">
        <f t="shared" si="12"/>
        <v>0.71126727521355004</v>
      </c>
      <c r="G27" s="10">
        <v>100</v>
      </c>
      <c r="H27" s="11">
        <v>100000</v>
      </c>
      <c r="I27" s="11">
        <f t="shared" si="13"/>
        <v>4.276744321220001E-3</v>
      </c>
      <c r="J27" s="11">
        <f t="shared" si="14"/>
        <v>3.28873272478645E-5</v>
      </c>
      <c r="K27" s="6">
        <f t="shared" si="0"/>
        <v>130.04231961409107</v>
      </c>
      <c r="L27" s="35"/>
      <c r="M27" s="17">
        <f>L22/I27</f>
        <v>31955.772055057201</v>
      </c>
      <c r="N27" s="11">
        <f t="shared" si="5"/>
        <v>0.17106977284880004</v>
      </c>
      <c r="O27" s="6">
        <f t="shared" si="6"/>
        <v>760.17122983514412</v>
      </c>
    </row>
    <row r="28" spans="1:15" x14ac:dyDescent="0.55000000000000004">
      <c r="A28" s="10">
        <v>4</v>
      </c>
      <c r="B28" s="10">
        <v>-2</v>
      </c>
      <c r="C28" s="1">
        <v>-1.5738183928057099</v>
      </c>
      <c r="D28" s="1">
        <v>3.2887327448869601</v>
      </c>
      <c r="E28" s="28">
        <f t="shared" si="11"/>
        <v>5.5738183928057099</v>
      </c>
      <c r="F28" s="3">
        <f t="shared" si="12"/>
        <v>0.7112672551130399</v>
      </c>
      <c r="G28" s="10">
        <v>100</v>
      </c>
      <c r="H28" s="11">
        <v>100000</v>
      </c>
      <c r="I28" s="11">
        <f t="shared" si="13"/>
        <v>4.2618160719429012E-3</v>
      </c>
      <c r="J28" s="11">
        <f t="shared" si="14"/>
        <v>3.2887327448869599E-5</v>
      </c>
      <c r="K28" s="6">
        <f t="shared" si="0"/>
        <v>129.58839779756528</v>
      </c>
      <c r="L28" s="35"/>
      <c r="M28" s="17">
        <f>L22/I28</f>
        <v>32067.706433037667</v>
      </c>
      <c r="N28" s="11">
        <f t="shared" si="5"/>
        <v>0.17047264287771605</v>
      </c>
      <c r="O28" s="6">
        <f t="shared" si="6"/>
        <v>760.17122518902943</v>
      </c>
    </row>
    <row r="29" spans="1:15" x14ac:dyDescent="0.55000000000000004">
      <c r="A29" s="10">
        <v>4</v>
      </c>
      <c r="B29" s="10">
        <v>-1.5</v>
      </c>
      <c r="C29" s="1">
        <v>-1.0753111867897001</v>
      </c>
      <c r="D29" s="1">
        <v>3.2887327283435499</v>
      </c>
      <c r="E29" s="28">
        <f t="shared" si="11"/>
        <v>5.0753111867897003</v>
      </c>
      <c r="F29" s="3">
        <f t="shared" si="12"/>
        <v>0.7112672716564501</v>
      </c>
      <c r="G29" s="10">
        <v>100</v>
      </c>
      <c r="H29" s="11">
        <v>100000</v>
      </c>
      <c r="I29" s="11">
        <f t="shared" si="13"/>
        <v>4.2468881321029994E-3</v>
      </c>
      <c r="J29" s="11">
        <f t="shared" si="14"/>
        <v>3.28873272834355E-5</v>
      </c>
      <c r="K29" s="6">
        <f t="shared" si="0"/>
        <v>129.13448683444847</v>
      </c>
      <c r="L29" s="35"/>
      <c r="M29" s="17">
        <f>L22/I29</f>
        <v>32180.425388080865</v>
      </c>
      <c r="N29" s="11">
        <f t="shared" si="5"/>
        <v>0.16987552528411998</v>
      </c>
      <c r="O29" s="6">
        <f t="shared" si="6"/>
        <v>760.17122901294135</v>
      </c>
    </row>
    <row r="30" spans="1:15" x14ac:dyDescent="0.55000000000000004">
      <c r="A30" s="10">
        <v>4</v>
      </c>
      <c r="B30" s="10">
        <v>-1</v>
      </c>
      <c r="C30" s="1">
        <v>-0.57680401173006501</v>
      </c>
      <c r="D30" s="1">
        <v>3.28873274816493</v>
      </c>
      <c r="E30" s="28">
        <f t="shared" si="11"/>
        <v>4.576804011730065</v>
      </c>
      <c r="F30" s="3">
        <f t="shared" si="12"/>
        <v>0.71126725183507</v>
      </c>
      <c r="G30" s="10">
        <v>100</v>
      </c>
      <c r="H30" s="11">
        <v>100000</v>
      </c>
      <c r="I30" s="11">
        <f t="shared" si="13"/>
        <v>4.2319598826993498E-3</v>
      </c>
      <c r="J30" s="11">
        <f t="shared" si="14"/>
        <v>3.28873274816493E-5</v>
      </c>
      <c r="K30" s="6">
        <f t="shared" si="0"/>
        <v>128.680565031036</v>
      </c>
      <c r="L30" s="35"/>
      <c r="M30" s="17">
        <f>L22/I30</f>
        <v>32293.941921654994</v>
      </c>
      <c r="N30" s="11">
        <f t="shared" si="5"/>
        <v>0.16927839530797398</v>
      </c>
      <c r="O30" s="6">
        <f t="shared" si="6"/>
        <v>760.17122443134599</v>
      </c>
    </row>
    <row r="31" spans="1:15" x14ac:dyDescent="0.55000000000000004">
      <c r="A31" s="10">
        <v>4</v>
      </c>
      <c r="B31" s="10">
        <v>-0.5</v>
      </c>
      <c r="C31" s="1">
        <v>-7.8296805991576096E-2</v>
      </c>
      <c r="D31" s="1">
        <v>3.2887327314310899</v>
      </c>
      <c r="E31" s="28">
        <f t="shared" si="11"/>
        <v>4.0782968059915765</v>
      </c>
      <c r="F31" s="3">
        <f t="shared" si="12"/>
        <v>0.71126726856891009</v>
      </c>
      <c r="G31" s="10">
        <v>100</v>
      </c>
      <c r="H31" s="11">
        <v>100000</v>
      </c>
      <c r="I31" s="11">
        <f t="shared" si="13"/>
        <v>4.2170319400842392E-3</v>
      </c>
      <c r="J31" s="11">
        <f t="shared" si="14"/>
        <v>3.2887327314310901E-5</v>
      </c>
      <c r="K31" s="6">
        <f t="shared" si="0"/>
        <v>128.22665398684435</v>
      </c>
      <c r="L31" s="35"/>
      <c r="M31" s="17">
        <f>L22/I31</f>
        <v>32408.259792297576</v>
      </c>
      <c r="N31" s="11">
        <f t="shared" si="5"/>
        <v>0.16868127760336957</v>
      </c>
      <c r="O31" s="6">
        <f t="shared" si="6"/>
        <v>760.17122829927462</v>
      </c>
    </row>
    <row r="32" spans="1:15" x14ac:dyDescent="0.55000000000000004">
      <c r="A32" s="12">
        <v>3.5</v>
      </c>
      <c r="B32" s="12">
        <v>-5</v>
      </c>
      <c r="C32" s="1">
        <v>-4.6307225548550104</v>
      </c>
      <c r="D32" s="1">
        <v>2.7948024297390299</v>
      </c>
      <c r="E32" s="29">
        <f>A32-C32</f>
        <v>8.1307225548550104</v>
      </c>
      <c r="F32" s="4">
        <f>A32-D32</f>
        <v>0.70519757026097007</v>
      </c>
      <c r="G32" s="12">
        <v>100</v>
      </c>
      <c r="H32" s="13">
        <v>100000</v>
      </c>
      <c r="I32" s="13">
        <f>(C32-B32)/G32</f>
        <v>3.6927744514498959E-3</v>
      </c>
      <c r="J32" s="13">
        <f>(D32-0)/H32</f>
        <v>2.79480242973903E-5</v>
      </c>
      <c r="K32" s="7">
        <f t="shared" si="0"/>
        <v>132.13007159846774</v>
      </c>
      <c r="L32" s="32">
        <f>0.0035/(0.00003)</f>
        <v>116.66666666666667</v>
      </c>
      <c r="M32" s="18">
        <f>L32/I32</f>
        <v>31593.228397921725</v>
      </c>
      <c r="N32" s="13">
        <f t="shared" si="5"/>
        <v>0.14771097805799582</v>
      </c>
      <c r="O32" s="7">
        <f t="shared" si="6"/>
        <v>894.51761362374452</v>
      </c>
    </row>
    <row r="33" spans="1:15" x14ac:dyDescent="0.55000000000000004">
      <c r="A33" s="12">
        <v>3.5</v>
      </c>
      <c r="B33" s="12">
        <v>-4.5</v>
      </c>
      <c r="C33" s="1">
        <v>-4.1319923231512998</v>
      </c>
      <c r="D33" s="1">
        <v>2.7948024410167598</v>
      </c>
      <c r="E33" s="29">
        <f t="shared" ref="E33:E41" si="15">A33-C33</f>
        <v>7.6319923231512998</v>
      </c>
      <c r="F33" s="4">
        <f t="shared" ref="F33:F41" si="16">A33-D33</f>
        <v>0.70519755898324021</v>
      </c>
      <c r="G33" s="12">
        <v>100</v>
      </c>
      <c r="H33" s="13">
        <v>100000</v>
      </c>
      <c r="I33" s="13">
        <f t="shared" ref="I33:I41" si="17">(C33-B33)/G33</f>
        <v>3.6800767684870019E-3</v>
      </c>
      <c r="J33" s="13">
        <f t="shared" ref="J33:J41" si="18">(D33-0)/H33</f>
        <v>2.7948024410167597E-5</v>
      </c>
      <c r="K33" s="7">
        <f t="shared" si="0"/>
        <v>131.67573902462229</v>
      </c>
      <c r="L33" s="37"/>
      <c r="M33" s="18">
        <f>L32/I33</f>
        <v>31702.237210293875</v>
      </c>
      <c r="N33" s="13">
        <f t="shared" si="5"/>
        <v>0.14720307073948008</v>
      </c>
      <c r="O33" s="7">
        <f t="shared" si="6"/>
        <v>894.51761001414138</v>
      </c>
    </row>
    <row r="34" spans="1:15" x14ac:dyDescent="0.55000000000000004">
      <c r="A34" s="12">
        <v>3.5</v>
      </c>
      <c r="B34" s="12">
        <v>-4</v>
      </c>
      <c r="C34" s="1">
        <v>-3.6332620806121598</v>
      </c>
      <c r="D34" s="1">
        <v>2.7948024324658398</v>
      </c>
      <c r="E34" s="29">
        <f t="shared" si="15"/>
        <v>7.1332620806121598</v>
      </c>
      <c r="F34" s="4">
        <f t="shared" si="16"/>
        <v>0.70519756753416019</v>
      </c>
      <c r="G34" s="12">
        <v>100</v>
      </c>
      <c r="H34" s="13">
        <v>100000</v>
      </c>
      <c r="I34" s="13">
        <f t="shared" si="17"/>
        <v>3.6673791938784017E-3</v>
      </c>
      <c r="J34" s="13">
        <f t="shared" si="18"/>
        <v>2.7948024324658397E-5</v>
      </c>
      <c r="K34" s="7">
        <f t="shared" si="0"/>
        <v>131.22141126243017</v>
      </c>
      <c r="L34" s="37"/>
      <c r="M34" s="18">
        <f>L32/I34</f>
        <v>31811.999932105999</v>
      </c>
      <c r="N34" s="13">
        <f t="shared" si="5"/>
        <v>0.14669516775513605</v>
      </c>
      <c r="O34" s="7">
        <f t="shared" si="6"/>
        <v>894.51761275098897</v>
      </c>
    </row>
    <row r="35" spans="1:15" x14ac:dyDescent="0.55000000000000004">
      <c r="A35" s="12">
        <v>3.5</v>
      </c>
      <c r="B35" s="12">
        <v>-3.5</v>
      </c>
      <c r="C35" s="1">
        <v>-3.1345318488112999</v>
      </c>
      <c r="D35" s="1">
        <v>2.79480244390597</v>
      </c>
      <c r="E35" s="29">
        <f t="shared" si="15"/>
        <v>6.6345318488112994</v>
      </c>
      <c r="F35" s="4">
        <f t="shared" si="16"/>
        <v>0.70519755609403001</v>
      </c>
      <c r="G35" s="12">
        <v>100</v>
      </c>
      <c r="H35" s="13">
        <v>100000</v>
      </c>
      <c r="I35" s="13">
        <f t="shared" si="17"/>
        <v>3.6546815118870014E-3</v>
      </c>
      <c r="J35" s="13">
        <f t="shared" si="18"/>
        <v>2.7948024439059701E-5</v>
      </c>
      <c r="K35" s="7">
        <f t="shared" si="0"/>
        <v>130.76707871985678</v>
      </c>
      <c r="L35" s="37"/>
      <c r="M35" s="18">
        <f>L32/I35</f>
        <v>31922.526295985997</v>
      </c>
      <c r="N35" s="13">
        <f t="shared" si="5"/>
        <v>0.14618726047548006</v>
      </c>
      <c r="O35" s="7">
        <f t="shared" si="6"/>
        <v>894.51760908940707</v>
      </c>
    </row>
    <row r="36" spans="1:15" x14ac:dyDescent="0.55000000000000004">
      <c r="A36" s="12">
        <v>3.5</v>
      </c>
      <c r="B36" s="12">
        <v>-3</v>
      </c>
      <c r="C36" s="1">
        <v>-2.6358016062131302</v>
      </c>
      <c r="D36" s="1">
        <v>2.7948024354740402</v>
      </c>
      <c r="E36" s="29">
        <f t="shared" si="15"/>
        <v>6.1358016062131302</v>
      </c>
      <c r="F36" s="4">
        <f t="shared" si="16"/>
        <v>0.70519756452595983</v>
      </c>
      <c r="G36" s="12">
        <v>100</v>
      </c>
      <c r="H36" s="13">
        <v>100000</v>
      </c>
      <c r="I36" s="13">
        <f t="shared" si="17"/>
        <v>3.6419839378686982E-3</v>
      </c>
      <c r="J36" s="13">
        <f t="shared" si="18"/>
        <v>2.7948024354740403E-5</v>
      </c>
      <c r="K36" s="7">
        <f t="shared" si="0"/>
        <v>130.31275097092734</v>
      </c>
      <c r="L36" s="37"/>
      <c r="M36" s="18">
        <f>L32/I36</f>
        <v>32033.822404757891</v>
      </c>
      <c r="N36" s="13">
        <f t="shared" si="5"/>
        <v>0.14567935751474792</v>
      </c>
      <c r="O36" s="7">
        <f t="shared" si="6"/>
        <v>894.51761178817014</v>
      </c>
    </row>
    <row r="37" spans="1:15" x14ac:dyDescent="0.55000000000000004">
      <c r="A37" s="12">
        <v>3.5</v>
      </c>
      <c r="B37" s="12">
        <v>-2.5</v>
      </c>
      <c r="C37" s="1">
        <v>-2.1370713744235701</v>
      </c>
      <c r="D37" s="1">
        <v>2.7948024467952401</v>
      </c>
      <c r="E37" s="29">
        <f t="shared" si="15"/>
        <v>5.6370713744235701</v>
      </c>
      <c r="F37" s="4">
        <f t="shared" si="16"/>
        <v>0.70519755320475985</v>
      </c>
      <c r="G37" s="12">
        <v>100</v>
      </c>
      <c r="H37" s="13">
        <v>100000</v>
      </c>
      <c r="I37" s="13">
        <f t="shared" si="17"/>
        <v>3.6292862557642993E-3</v>
      </c>
      <c r="J37" s="13">
        <f t="shared" si="18"/>
        <v>2.7948024467952401E-5</v>
      </c>
      <c r="K37" s="7">
        <f t="shared" si="0"/>
        <v>129.85841843404529</v>
      </c>
      <c r="L37" s="37"/>
      <c r="M37" s="18">
        <f>L32/I37</f>
        <v>32145.898241387848</v>
      </c>
      <c r="N37" s="13">
        <f t="shared" si="5"/>
        <v>0.14517145023057196</v>
      </c>
      <c r="O37" s="7">
        <f t="shared" si="6"/>
        <v>894.51760816465378</v>
      </c>
    </row>
    <row r="38" spans="1:15" x14ac:dyDescent="0.55000000000000004">
      <c r="A38" s="12">
        <v>3.5</v>
      </c>
      <c r="B38" s="12">
        <v>-2</v>
      </c>
      <c r="C38" s="1">
        <v>-1.63834113190091</v>
      </c>
      <c r="D38" s="1">
        <v>2.79480243824456</v>
      </c>
      <c r="E38" s="29">
        <f t="shared" si="15"/>
        <v>5.1383411319009102</v>
      </c>
      <c r="F38" s="4">
        <f t="shared" si="16"/>
        <v>0.70519756175544002</v>
      </c>
      <c r="G38" s="12">
        <v>100</v>
      </c>
      <c r="H38" s="13">
        <v>100000</v>
      </c>
      <c r="I38" s="13">
        <f t="shared" si="17"/>
        <v>3.6165886809909E-3</v>
      </c>
      <c r="J38" s="13">
        <f t="shared" si="18"/>
        <v>2.7948024382445601E-5</v>
      </c>
      <c r="K38" s="7">
        <f t="shared" si="0"/>
        <v>129.40409066132457</v>
      </c>
      <c r="L38" s="37"/>
      <c r="M38" s="18">
        <f>L32/I38</f>
        <v>32258.760107245998</v>
      </c>
      <c r="N38" s="13">
        <f t="shared" si="5"/>
        <v>0.14466354723963598</v>
      </c>
      <c r="O38" s="7">
        <f t="shared" si="6"/>
        <v>894.51761090142463</v>
      </c>
    </row>
    <row r="39" spans="1:15" x14ac:dyDescent="0.55000000000000004">
      <c r="A39" s="12">
        <v>3.5</v>
      </c>
      <c r="B39" s="12">
        <v>-1.5</v>
      </c>
      <c r="C39" s="1">
        <v>-1.1396108999869701</v>
      </c>
      <c r="D39" s="1">
        <v>2.7948024496845298</v>
      </c>
      <c r="E39" s="29">
        <f t="shared" si="15"/>
        <v>4.6396108999869696</v>
      </c>
      <c r="F39" s="4">
        <f t="shared" si="16"/>
        <v>0.70519755031547016</v>
      </c>
      <c r="G39" s="12">
        <v>100</v>
      </c>
      <c r="H39" s="13">
        <v>100000</v>
      </c>
      <c r="I39" s="13">
        <f t="shared" si="17"/>
        <v>3.6038910001302991E-3</v>
      </c>
      <c r="J39" s="13">
        <f t="shared" si="18"/>
        <v>2.7948024496845298E-5</v>
      </c>
      <c r="K39" s="7">
        <f t="shared" si="0"/>
        <v>128.94975816759776</v>
      </c>
      <c r="L39" s="37"/>
      <c r="M39" s="18">
        <f>L32/I39</f>
        <v>32372.418217545586</v>
      </c>
      <c r="N39" s="13">
        <f t="shared" si="5"/>
        <v>0.14415564000521194</v>
      </c>
      <c r="O39" s="7">
        <f t="shared" si="6"/>
        <v>894.51760723989412</v>
      </c>
    </row>
    <row r="40" spans="1:15" x14ac:dyDescent="0.55000000000000004">
      <c r="A40" s="12">
        <v>3.5</v>
      </c>
      <c r="B40" s="12">
        <v>-1</v>
      </c>
      <c r="C40" s="1">
        <v>-0.64088065740487099</v>
      </c>
      <c r="D40" s="1">
        <v>2.7948024412527199</v>
      </c>
      <c r="E40" s="29">
        <f t="shared" si="15"/>
        <v>4.1408806574048711</v>
      </c>
      <c r="F40" s="4">
        <f t="shared" si="16"/>
        <v>0.70519755874728007</v>
      </c>
      <c r="G40" s="12">
        <v>100</v>
      </c>
      <c r="H40" s="13">
        <v>100000</v>
      </c>
      <c r="I40" s="13">
        <f t="shared" si="17"/>
        <v>3.5911934259512902E-3</v>
      </c>
      <c r="J40" s="13">
        <f t="shared" si="18"/>
        <v>2.79480244125272E-5</v>
      </c>
      <c r="K40" s="7">
        <f t="shared" si="0"/>
        <v>128.49543040836912</v>
      </c>
      <c r="L40" s="37"/>
      <c r="M40" s="18">
        <f>L32/I40</f>
        <v>32486.879103640102</v>
      </c>
      <c r="N40" s="13">
        <f t="shared" si="5"/>
        <v>0.14364773703805159</v>
      </c>
      <c r="O40" s="7">
        <f t="shared" si="6"/>
        <v>894.51760993861876</v>
      </c>
    </row>
    <row r="41" spans="1:15" x14ac:dyDescent="0.55000000000000004">
      <c r="A41" s="12">
        <v>3.5</v>
      </c>
      <c r="B41" s="12">
        <v>-0.5</v>
      </c>
      <c r="C41" s="1">
        <v>-0.142150425501574</v>
      </c>
      <c r="D41" s="1">
        <v>2.7948024525738502</v>
      </c>
      <c r="E41" s="29">
        <f t="shared" si="15"/>
        <v>3.642150425501574</v>
      </c>
      <c r="F41" s="4">
        <f t="shared" si="16"/>
        <v>0.70519754742614982</v>
      </c>
      <c r="G41" s="12">
        <v>100</v>
      </c>
      <c r="H41" s="13">
        <v>100000</v>
      </c>
      <c r="I41" s="13">
        <f t="shared" si="17"/>
        <v>3.5784957449842602E-3</v>
      </c>
      <c r="J41" s="13">
        <f t="shared" si="18"/>
        <v>2.7948024525738503E-5</v>
      </c>
      <c r="K41" s="7">
        <f t="shared" si="0"/>
        <v>128.04109792048715</v>
      </c>
      <c r="L41" s="37"/>
      <c r="M41" s="18">
        <f>L32/I41</f>
        <v>32602.153245589459</v>
      </c>
      <c r="N41" s="13">
        <f t="shared" si="5"/>
        <v>0.1431398297993704</v>
      </c>
      <c r="O41" s="7">
        <f t="shared" si="6"/>
        <v>894.51760631512457</v>
      </c>
    </row>
    <row r="42" spans="1:15" x14ac:dyDescent="0.55000000000000004">
      <c r="A42" s="8">
        <v>3</v>
      </c>
      <c r="B42" s="8">
        <v>-5</v>
      </c>
      <c r="C42" s="1">
        <v>-4.6968182017567797</v>
      </c>
      <c r="D42" s="1">
        <v>2.30204645587339</v>
      </c>
      <c r="E42" s="26">
        <f>A42-C42</f>
        <v>7.6968182017567797</v>
      </c>
      <c r="F42" s="2">
        <f>A42-D42</f>
        <v>0.69795354412661004</v>
      </c>
      <c r="G42" s="8">
        <v>100</v>
      </c>
      <c r="H42" s="9">
        <v>100000</v>
      </c>
      <c r="I42" s="9">
        <f>(C42-B42)/G42</f>
        <v>3.0318179824322033E-3</v>
      </c>
      <c r="J42" s="9">
        <f>(D42-0)/H42</f>
        <v>2.3020464558733899E-5</v>
      </c>
      <c r="K42" s="5">
        <f t="shared" si="0"/>
        <v>131.70099042514502</v>
      </c>
      <c r="L42" s="33">
        <f>0.0029/(0.00002)</f>
        <v>144.99999999999997</v>
      </c>
      <c r="M42" s="16">
        <f>L42/I42</f>
        <v>47826.090101780188</v>
      </c>
      <c r="N42" s="9">
        <f t="shared" si="5"/>
        <v>0.12127271929728813</v>
      </c>
      <c r="O42" s="5">
        <f t="shared" si="6"/>
        <v>1085.9902473390821</v>
      </c>
    </row>
    <row r="43" spans="1:15" x14ac:dyDescent="0.55000000000000004">
      <c r="A43" s="8">
        <v>3</v>
      </c>
      <c r="B43" s="8">
        <v>-4.5</v>
      </c>
      <c r="C43" s="1">
        <v>-4.1978628518535199</v>
      </c>
      <c r="D43" s="1">
        <v>2.30204645713403</v>
      </c>
      <c r="E43" s="26">
        <f t="shared" ref="E43:E51" si="19">A43-C43</f>
        <v>7.1978628518535199</v>
      </c>
      <c r="F43" s="2">
        <f t="shared" ref="F43:F51" si="20">A43-D43</f>
        <v>0.69795354286597</v>
      </c>
      <c r="G43" s="8">
        <v>100</v>
      </c>
      <c r="H43" s="9">
        <v>100000</v>
      </c>
      <c r="I43" s="9">
        <f t="shared" ref="I43:I51" si="21">(C43-B43)/G43</f>
        <v>3.0213714814648009E-3</v>
      </c>
      <c r="J43" s="9">
        <f t="shared" ref="J43:J51" si="22">(D43-0)/H43</f>
        <v>2.30204645713403E-5</v>
      </c>
      <c r="K43" s="5">
        <f t="shared" si="0"/>
        <v>131.24719842649509</v>
      </c>
      <c r="L43" s="38"/>
      <c r="M43" s="16">
        <f>L42/I43</f>
        <v>47991.450534808799</v>
      </c>
      <c r="N43" s="9">
        <f t="shared" si="5"/>
        <v>0.12085485925859203</v>
      </c>
      <c r="O43" s="5">
        <f t="shared" si="6"/>
        <v>1085.9902467443753</v>
      </c>
    </row>
    <row r="44" spans="1:15" x14ac:dyDescent="0.55000000000000004">
      <c r="A44" s="8">
        <v>3</v>
      </c>
      <c r="B44" s="8">
        <v>-4</v>
      </c>
      <c r="C44" s="1">
        <v>-3.6989075019356199</v>
      </c>
      <c r="D44" s="1">
        <v>2.3020464583942202</v>
      </c>
      <c r="E44" s="26">
        <f t="shared" si="19"/>
        <v>6.6989075019356203</v>
      </c>
      <c r="F44" s="2">
        <f t="shared" si="20"/>
        <v>0.69795354160577983</v>
      </c>
      <c r="G44" s="8">
        <v>100</v>
      </c>
      <c r="H44" s="9">
        <v>100000</v>
      </c>
      <c r="I44" s="9">
        <f t="shared" si="21"/>
        <v>3.0109249806438009E-3</v>
      </c>
      <c r="J44" s="9">
        <f t="shared" si="22"/>
        <v>2.3020464583942202E-5</v>
      </c>
      <c r="K44" s="5">
        <f t="shared" si="0"/>
        <v>130.79340643472742</v>
      </c>
      <c r="L44" s="38"/>
      <c r="M44" s="16">
        <f>L42/I44</f>
        <v>48157.958412167362</v>
      </c>
      <c r="N44" s="9">
        <f t="shared" si="5"/>
        <v>0.12043699922575203</v>
      </c>
      <c r="O44" s="5">
        <f t="shared" si="6"/>
        <v>1085.9902461498807</v>
      </c>
    </row>
    <row r="45" spans="1:15" x14ac:dyDescent="0.55000000000000004">
      <c r="A45" s="8">
        <v>3</v>
      </c>
      <c r="B45" s="8">
        <v>-3.5</v>
      </c>
      <c r="C45" s="1">
        <v>-3.1999521520060199</v>
      </c>
      <c r="D45" s="1">
        <v>2.3020464596543202</v>
      </c>
      <c r="E45" s="26">
        <f t="shared" si="19"/>
        <v>6.1999521520060199</v>
      </c>
      <c r="F45" s="2">
        <f t="shared" si="20"/>
        <v>0.6979535403456798</v>
      </c>
      <c r="G45" s="8">
        <v>100</v>
      </c>
      <c r="H45" s="9">
        <v>100000</v>
      </c>
      <c r="I45" s="9">
        <f t="shared" si="21"/>
        <v>3.000478479939801E-3</v>
      </c>
      <c r="J45" s="9">
        <f t="shared" si="22"/>
        <v>2.3020464596543203E-5</v>
      </c>
      <c r="K45" s="5">
        <f t="shared" si="0"/>
        <v>130.33961444854413</v>
      </c>
      <c r="L45" s="38"/>
      <c r="M45" s="16">
        <f>L42/I45</f>
        <v>48325.625719171672</v>
      </c>
      <c r="N45" s="9">
        <f t="shared" si="5"/>
        <v>0.12001913919759204</v>
      </c>
      <c r="O45" s="5">
        <f t="shared" si="6"/>
        <v>1085.9902455554286</v>
      </c>
    </row>
    <row r="46" spans="1:15" x14ac:dyDescent="0.55000000000000004">
      <c r="A46" s="8">
        <v>3</v>
      </c>
      <c r="B46" s="8">
        <v>-3</v>
      </c>
      <c r="C46" s="1">
        <v>-2.7009968020635098</v>
      </c>
      <c r="D46" s="1">
        <v>2.3020464609141702</v>
      </c>
      <c r="E46" s="26">
        <f t="shared" si="19"/>
        <v>5.7009968020635098</v>
      </c>
      <c r="F46" s="2">
        <f t="shared" si="20"/>
        <v>0.6979535390858298</v>
      </c>
      <c r="G46" s="8">
        <v>100</v>
      </c>
      <c r="H46" s="9">
        <v>100000</v>
      </c>
      <c r="I46" s="9">
        <f t="shared" si="21"/>
        <v>2.9900319793649023E-3</v>
      </c>
      <c r="J46" s="9">
        <f t="shared" si="22"/>
        <v>2.3020464609141703E-5</v>
      </c>
      <c r="K46" s="5">
        <f t="shared" si="0"/>
        <v>129.88582246847983</v>
      </c>
      <c r="L46" s="38"/>
      <c r="M46" s="16">
        <f>L42/I46</f>
        <v>48494.464607966736</v>
      </c>
      <c r="N46" s="9">
        <f t="shared" si="5"/>
        <v>0.11960127917459609</v>
      </c>
      <c r="O46" s="5">
        <f t="shared" si="6"/>
        <v>1085.9902449610943</v>
      </c>
    </row>
    <row r="47" spans="1:15" x14ac:dyDescent="0.55000000000000004">
      <c r="A47" s="8">
        <v>3</v>
      </c>
      <c r="B47" s="8">
        <v>-2.5</v>
      </c>
      <c r="C47" s="1">
        <v>-2.2020414521076899</v>
      </c>
      <c r="D47" s="1">
        <v>2.3020464621737302</v>
      </c>
      <c r="E47" s="26">
        <f t="shared" si="19"/>
        <v>5.2020414521076894</v>
      </c>
      <c r="F47" s="2">
        <f t="shared" si="20"/>
        <v>0.69795353782626979</v>
      </c>
      <c r="G47" s="8">
        <v>100</v>
      </c>
      <c r="H47" s="9">
        <v>100000</v>
      </c>
      <c r="I47" s="9">
        <f t="shared" si="21"/>
        <v>2.9795854789231011E-3</v>
      </c>
      <c r="J47" s="9">
        <f t="shared" si="22"/>
        <v>2.3020464621737304E-5</v>
      </c>
      <c r="K47" s="5">
        <f t="shared" si="0"/>
        <v>129.43203049471026</v>
      </c>
      <c r="L47" s="38"/>
      <c r="M47" s="16">
        <f>L42/I47</f>
        <v>48664.487401249753</v>
      </c>
      <c r="N47" s="9">
        <f t="shared" si="5"/>
        <v>0.11918341915692404</v>
      </c>
      <c r="O47" s="5">
        <f t="shared" si="6"/>
        <v>1085.9902443668971</v>
      </c>
    </row>
    <row r="48" spans="1:15" x14ac:dyDescent="0.55000000000000004">
      <c r="A48" s="8">
        <v>3</v>
      </c>
      <c r="B48" s="8">
        <v>-2</v>
      </c>
      <c r="C48" s="1">
        <v>-1.7030861021422501</v>
      </c>
      <c r="D48" s="1">
        <v>2.3020464634334501</v>
      </c>
      <c r="E48" s="26">
        <f t="shared" si="19"/>
        <v>4.7030861021422501</v>
      </c>
      <c r="F48" s="2">
        <f t="shared" si="20"/>
        <v>0.6979535365665499</v>
      </c>
      <c r="G48" s="8">
        <v>100</v>
      </c>
      <c r="H48" s="9">
        <v>100000</v>
      </c>
      <c r="I48" s="9">
        <f t="shared" si="21"/>
        <v>2.9691389785774991E-3</v>
      </c>
      <c r="J48" s="9">
        <f t="shared" si="22"/>
        <v>2.30204646343345E-5</v>
      </c>
      <c r="K48" s="5">
        <f t="shared" si="0"/>
        <v>128.97823852560717</v>
      </c>
      <c r="L48" s="38"/>
      <c r="M48" s="16">
        <f>L42/I48</f>
        <v>48835.706595812102</v>
      </c>
      <c r="N48" s="9">
        <f t="shared" si="5"/>
        <v>0.11876555914309996</v>
      </c>
      <c r="O48" s="5">
        <f t="shared" si="6"/>
        <v>1085.9902437726244</v>
      </c>
    </row>
    <row r="49" spans="1:15" x14ac:dyDescent="0.55000000000000004">
      <c r="A49" s="8">
        <v>3</v>
      </c>
      <c r="B49" s="8">
        <v>-1.5</v>
      </c>
      <c r="C49" s="1">
        <v>-1.20413075216103</v>
      </c>
      <c r="D49" s="1">
        <v>2.3020464646925798</v>
      </c>
      <c r="E49" s="26">
        <f t="shared" si="19"/>
        <v>4.2041307521610296</v>
      </c>
      <c r="F49" s="2">
        <f t="shared" si="20"/>
        <v>0.69795353530742021</v>
      </c>
      <c r="G49" s="8">
        <v>100</v>
      </c>
      <c r="H49" s="9">
        <v>100000</v>
      </c>
      <c r="I49" s="9">
        <f t="shared" si="21"/>
        <v>2.9586924783896996E-3</v>
      </c>
      <c r="J49" s="9">
        <f t="shared" si="22"/>
        <v>2.3020464646925797E-5</v>
      </c>
      <c r="K49" s="5">
        <f t="shared" si="0"/>
        <v>128.52444656388852</v>
      </c>
      <c r="L49" s="38"/>
      <c r="M49" s="16">
        <f>L42/I49</f>
        <v>49008.13486331563</v>
      </c>
      <c r="N49" s="9">
        <f t="shared" si="5"/>
        <v>0.11834769913558797</v>
      </c>
      <c r="O49" s="5">
        <f t="shared" si="6"/>
        <v>1085.99024317863</v>
      </c>
    </row>
    <row r="50" spans="1:15" x14ac:dyDescent="0.55000000000000004">
      <c r="A50" s="8">
        <v>3</v>
      </c>
      <c r="B50" s="8">
        <v>-1</v>
      </c>
      <c r="C50" s="1">
        <v>-0.70517540216761398</v>
      </c>
      <c r="D50" s="1">
        <v>2.30204646595155</v>
      </c>
      <c r="E50" s="26">
        <f t="shared" si="19"/>
        <v>3.705175402167614</v>
      </c>
      <c r="F50" s="2">
        <f t="shared" si="20"/>
        <v>0.69795353404844995</v>
      </c>
      <c r="G50" s="8">
        <v>100</v>
      </c>
      <c r="H50" s="9">
        <v>100000</v>
      </c>
      <c r="I50" s="9">
        <f t="shared" si="21"/>
        <v>2.9482459783238602E-3</v>
      </c>
      <c r="J50" s="9">
        <f t="shared" si="22"/>
        <v>2.3020464659515502E-5</v>
      </c>
      <c r="K50" s="5">
        <f t="shared" si="0"/>
        <v>128.07065460797307</v>
      </c>
      <c r="L50" s="38"/>
      <c r="M50" s="16">
        <f>L42/I50</f>
        <v>49181.785056630695</v>
      </c>
      <c r="N50" s="9">
        <f t="shared" si="5"/>
        <v>0.11792983913295441</v>
      </c>
      <c r="O50" s="5">
        <f t="shared" si="6"/>
        <v>1085.9902425847108</v>
      </c>
    </row>
    <row r="51" spans="1:15" x14ac:dyDescent="0.55000000000000004">
      <c r="A51" s="8">
        <v>3</v>
      </c>
      <c r="B51" s="8">
        <v>-0.5</v>
      </c>
      <c r="C51" s="1">
        <v>-0.20622005216081199</v>
      </c>
      <c r="D51" s="1">
        <v>2.3020464672102099</v>
      </c>
      <c r="E51" s="26">
        <f t="shared" si="19"/>
        <v>3.2062200521608122</v>
      </c>
      <c r="F51" s="2">
        <f t="shared" si="20"/>
        <v>0.69795353278979011</v>
      </c>
      <c r="G51" s="8">
        <v>100</v>
      </c>
      <c r="H51" s="9">
        <v>100000</v>
      </c>
      <c r="I51" s="9">
        <f t="shared" si="21"/>
        <v>2.9377994783918804E-3</v>
      </c>
      <c r="J51" s="9">
        <f t="shared" si="22"/>
        <v>2.3020464672102099E-5</v>
      </c>
      <c r="K51" s="5">
        <f t="shared" si="0"/>
        <v>127.616862658386</v>
      </c>
      <c r="L51" s="38"/>
      <c r="M51" s="16">
        <f>L42/I51</f>
        <v>49356.670210647389</v>
      </c>
      <c r="N51" s="9">
        <f t="shared" si="5"/>
        <v>0.11751197913567521</v>
      </c>
      <c r="O51" s="5">
        <f t="shared" si="6"/>
        <v>1085.9902419909381</v>
      </c>
    </row>
    <row r="52" spans="1:15" x14ac:dyDescent="0.55000000000000004">
      <c r="A52" s="21">
        <v>2.5</v>
      </c>
      <c r="B52" s="21">
        <v>-5</v>
      </c>
      <c r="C52" s="1">
        <v>-4.7629783433997801</v>
      </c>
      <c r="D52" s="1">
        <v>1.8110236992817199</v>
      </c>
      <c r="E52" s="27">
        <f>A52-C52</f>
        <v>7.2629783433997801</v>
      </c>
      <c r="F52" s="25">
        <f>A52-D52</f>
        <v>0.68897630071828009</v>
      </c>
      <c r="G52" s="21">
        <v>100</v>
      </c>
      <c r="H52" s="22">
        <v>100000</v>
      </c>
      <c r="I52" s="22">
        <f>(C52-B52)/G52</f>
        <v>2.3702165660021992E-3</v>
      </c>
      <c r="J52" s="22">
        <f>(D52-0)/H52</f>
        <v>1.8110236992817201E-5</v>
      </c>
      <c r="K52" s="23">
        <f t="shared" si="0"/>
        <v>130.87717001949028</v>
      </c>
      <c r="L52" s="34">
        <f>0.0023/(0.00002)</f>
        <v>114.99999999999999</v>
      </c>
      <c r="M52" s="24">
        <f>L52/I52</f>
        <v>48518.773199686293</v>
      </c>
      <c r="N52" s="22">
        <f t="shared" si="5"/>
        <v>9.4808662640087957E-2</v>
      </c>
      <c r="O52" s="23">
        <f t="shared" si="6"/>
        <v>1380.4347237374855</v>
      </c>
    </row>
    <row r="53" spans="1:15" x14ac:dyDescent="0.55000000000000004">
      <c r="A53" s="21">
        <v>2.5</v>
      </c>
      <c r="B53" s="21">
        <v>-4.5</v>
      </c>
      <c r="C53" s="1">
        <v>-4.2637964532722101</v>
      </c>
      <c r="D53" s="1">
        <v>1.8110237003866501</v>
      </c>
      <c r="E53" s="27">
        <f t="shared" ref="E53:E61" si="23">A53-C53</f>
        <v>6.7637964532722101</v>
      </c>
      <c r="F53" s="25">
        <f t="shared" ref="F53:F61" si="24">A53-D53</f>
        <v>0.68897629961334994</v>
      </c>
      <c r="G53" s="21">
        <v>100</v>
      </c>
      <c r="H53" s="22">
        <v>100000</v>
      </c>
      <c r="I53" s="22">
        <f t="shared" ref="I53:I61" si="25">(C53-B53)/G53</f>
        <v>2.3620354672778988E-3</v>
      </c>
      <c r="J53" s="22">
        <f t="shared" ref="J53:J61" si="26">(D53-0)/H53</f>
        <v>1.8110237003866501E-5</v>
      </c>
      <c r="K53" s="23">
        <f t="shared" si="0"/>
        <v>130.42543102962202</v>
      </c>
      <c r="L53" s="36"/>
      <c r="M53" s="24">
        <f>L52/I53</f>
        <v>48686.82185053319</v>
      </c>
      <c r="N53" s="22">
        <f t="shared" si="5"/>
        <v>9.4481418691115954E-2</v>
      </c>
      <c r="O53" s="23">
        <f t="shared" si="6"/>
        <v>1380.4347228952636</v>
      </c>
    </row>
    <row r="54" spans="1:15" x14ac:dyDescent="0.55000000000000004">
      <c r="A54" s="21">
        <v>2.5</v>
      </c>
      <c r="B54" s="21">
        <v>-4</v>
      </c>
      <c r="C54" s="1">
        <v>-3.7646145631304</v>
      </c>
      <c r="D54" s="1">
        <v>1.8110237014734201</v>
      </c>
      <c r="E54" s="27">
        <f t="shared" si="23"/>
        <v>6.2646145631304</v>
      </c>
      <c r="F54" s="25">
        <f t="shared" si="24"/>
        <v>0.68897629852657993</v>
      </c>
      <c r="G54" s="21">
        <v>100</v>
      </c>
      <c r="H54" s="22">
        <v>100000</v>
      </c>
      <c r="I54" s="22">
        <f t="shared" si="25"/>
        <v>2.3538543686960002E-3</v>
      </c>
      <c r="J54" s="22">
        <f t="shared" si="26"/>
        <v>1.8110237014734202E-5</v>
      </c>
      <c r="K54" s="23">
        <f t="shared" si="0"/>
        <v>129.97369204947134</v>
      </c>
      <c r="L54" s="36"/>
      <c r="M54" s="24">
        <f>L52/I54</f>
        <v>48856.038644271881</v>
      </c>
      <c r="N54" s="22">
        <f t="shared" si="5"/>
        <v>9.4154174747840005E-2</v>
      </c>
      <c r="O54" s="23">
        <f t="shared" si="6"/>
        <v>1380.434722066884</v>
      </c>
    </row>
    <row r="55" spans="1:15" x14ac:dyDescent="0.55000000000000004">
      <c r="A55" s="21">
        <v>2.5</v>
      </c>
      <c r="B55" s="21">
        <v>-3.5</v>
      </c>
      <c r="C55" s="1">
        <v>-3.2654326729759</v>
      </c>
      <c r="D55" s="1">
        <v>1.81102370254226</v>
      </c>
      <c r="E55" s="27">
        <f t="shared" si="23"/>
        <v>5.7654326729758996</v>
      </c>
      <c r="F55" s="25">
        <f t="shared" si="24"/>
        <v>0.68897629745774003</v>
      </c>
      <c r="G55" s="21">
        <v>100</v>
      </c>
      <c r="H55" s="22">
        <v>100000</v>
      </c>
      <c r="I55" s="22">
        <f t="shared" si="25"/>
        <v>2.3456732702410001E-3</v>
      </c>
      <c r="J55" s="22">
        <f t="shared" si="26"/>
        <v>1.8110237025422599E-5</v>
      </c>
      <c r="K55" s="23">
        <f t="shared" si="0"/>
        <v>129.52195307815217</v>
      </c>
      <c r="L55" s="36"/>
      <c r="M55" s="24">
        <f>L52/I55</f>
        <v>49026.43580373178</v>
      </c>
      <c r="N55" s="22">
        <f t="shared" si="5"/>
        <v>9.3826930809639997E-2</v>
      </c>
      <c r="O55" s="23">
        <f t="shared" si="6"/>
        <v>1380.4347212521716</v>
      </c>
    </row>
    <row r="56" spans="1:15" x14ac:dyDescent="0.55000000000000004">
      <c r="A56" s="21">
        <v>2.5</v>
      </c>
      <c r="B56" s="21">
        <v>-3</v>
      </c>
      <c r="C56" s="1">
        <v>-2.7662507828058001</v>
      </c>
      <c r="D56" s="1">
        <v>1.8110237035927199</v>
      </c>
      <c r="E56" s="27">
        <f t="shared" si="23"/>
        <v>5.2662507828058001</v>
      </c>
      <c r="F56" s="25">
        <f t="shared" si="24"/>
        <v>0.68897629640728009</v>
      </c>
      <c r="G56" s="21">
        <v>100</v>
      </c>
      <c r="H56" s="22">
        <v>100000</v>
      </c>
      <c r="I56" s="22">
        <f t="shared" si="25"/>
        <v>2.3374921719419993E-3</v>
      </c>
      <c r="J56" s="22">
        <f t="shared" si="26"/>
        <v>1.81102370359272E-5</v>
      </c>
      <c r="K56" s="23">
        <f t="shared" si="0"/>
        <v>129.07021411729002</v>
      </c>
      <c r="L56" s="36"/>
      <c r="M56" s="24">
        <f>L52/I56</f>
        <v>49198.025721924641</v>
      </c>
      <c r="N56" s="22">
        <f t="shared" si="5"/>
        <v>9.3499686877679969E-2</v>
      </c>
      <c r="O56" s="23">
        <f t="shared" si="6"/>
        <v>1380.4347204514688</v>
      </c>
    </row>
    <row r="57" spans="1:15" x14ac:dyDescent="0.55000000000000004">
      <c r="A57" s="21">
        <v>2.5</v>
      </c>
      <c r="B57" s="21">
        <v>-2.5</v>
      </c>
      <c r="C57" s="1">
        <v>-2.2670688926234801</v>
      </c>
      <c r="D57" s="1">
        <v>1.8110237046253299</v>
      </c>
      <c r="E57" s="27">
        <f t="shared" si="23"/>
        <v>4.7670688926234801</v>
      </c>
      <c r="F57" s="25">
        <f t="shared" si="24"/>
        <v>0.68897629537467009</v>
      </c>
      <c r="G57" s="21">
        <v>100</v>
      </c>
      <c r="H57" s="22">
        <v>100000</v>
      </c>
      <c r="I57" s="22">
        <f t="shared" si="25"/>
        <v>2.329311073765199E-3</v>
      </c>
      <c r="J57" s="22">
        <f t="shared" si="26"/>
        <v>1.8110237046253301E-5</v>
      </c>
      <c r="K57" s="23">
        <f t="shared" si="0"/>
        <v>128.61847516496718</v>
      </c>
      <c r="L57" s="36"/>
      <c r="M57" s="24">
        <f>L52/I57</f>
        <v>49370.820967295287</v>
      </c>
      <c r="N57" s="22">
        <f t="shared" si="5"/>
        <v>9.3172442950607948E-2</v>
      </c>
      <c r="O57" s="23">
        <f t="shared" si="6"/>
        <v>1380.4347196643721</v>
      </c>
    </row>
    <row r="58" spans="1:15" x14ac:dyDescent="0.55000000000000004">
      <c r="A58" s="21">
        <v>2.5</v>
      </c>
      <c r="B58" s="21">
        <v>-2</v>
      </c>
      <c r="C58" s="1">
        <v>-1.76788700242634</v>
      </c>
      <c r="D58" s="1">
        <v>1.8110237056396801</v>
      </c>
      <c r="E58" s="27">
        <f t="shared" si="23"/>
        <v>4.26788700242634</v>
      </c>
      <c r="F58" s="25">
        <f t="shared" si="24"/>
        <v>0.68897629436031993</v>
      </c>
      <c r="G58" s="21">
        <v>100</v>
      </c>
      <c r="H58" s="22">
        <v>100000</v>
      </c>
      <c r="I58" s="22">
        <f t="shared" si="25"/>
        <v>2.3211299757365999E-3</v>
      </c>
      <c r="J58" s="22">
        <f t="shared" si="26"/>
        <v>1.8110237056396801E-5</v>
      </c>
      <c r="K58" s="23">
        <f t="shared" si="0"/>
        <v>128.16673622263508</v>
      </c>
      <c r="L58" s="36"/>
      <c r="M58" s="24">
        <f>L52/I58</f>
        <v>49544.83428421765</v>
      </c>
      <c r="N58" s="22">
        <f t="shared" si="5"/>
        <v>9.284519902946399E-2</v>
      </c>
      <c r="O58" s="23">
        <f t="shared" si="6"/>
        <v>1380.4347188911938</v>
      </c>
    </row>
    <row r="59" spans="1:15" x14ac:dyDescent="0.55000000000000004">
      <c r="A59" s="21">
        <v>2.5</v>
      </c>
      <c r="B59" s="21">
        <v>-1.5</v>
      </c>
      <c r="C59" s="1">
        <v>-1.2687051122161701</v>
      </c>
      <c r="D59" s="1">
        <v>1.8110237066360499</v>
      </c>
      <c r="E59" s="27">
        <f t="shared" si="23"/>
        <v>3.7687051122161703</v>
      </c>
      <c r="F59" s="25">
        <f t="shared" si="24"/>
        <v>0.68897629336395005</v>
      </c>
      <c r="G59" s="21">
        <v>100</v>
      </c>
      <c r="H59" s="22">
        <v>100000</v>
      </c>
      <c r="I59" s="22">
        <f t="shared" si="25"/>
        <v>2.312948877838299E-3</v>
      </c>
      <c r="J59" s="22">
        <f t="shared" si="26"/>
        <v>1.8110237066360501E-5</v>
      </c>
      <c r="K59" s="23">
        <f t="shared" si="0"/>
        <v>127.71499728927169</v>
      </c>
      <c r="L59" s="36"/>
      <c r="M59" s="24">
        <f>L52/I59</f>
        <v>49720.078598312961</v>
      </c>
      <c r="N59" s="22">
        <f t="shared" si="5"/>
        <v>9.2517955113531961E-2</v>
      </c>
      <c r="O59" s="23">
        <f t="shared" si="6"/>
        <v>1380.434718131721</v>
      </c>
    </row>
    <row r="60" spans="1:15" x14ac:dyDescent="0.55000000000000004">
      <c r="A60" s="21">
        <v>2.5</v>
      </c>
      <c r="B60" s="21">
        <v>-1</v>
      </c>
      <c r="C60" s="1">
        <v>-0.76952322199184797</v>
      </c>
      <c r="D60" s="1">
        <v>1.8110237076142599</v>
      </c>
      <c r="E60" s="27">
        <f t="shared" si="23"/>
        <v>3.269523221991848</v>
      </c>
      <c r="F60" s="25">
        <f t="shared" si="24"/>
        <v>0.6889762923857401</v>
      </c>
      <c r="G60" s="21">
        <v>100</v>
      </c>
      <c r="H60" s="22">
        <v>100000</v>
      </c>
      <c r="I60" s="22">
        <f t="shared" si="25"/>
        <v>2.3047677800815203E-3</v>
      </c>
      <c r="J60" s="22">
        <f t="shared" si="26"/>
        <v>1.81102370761426E-5</v>
      </c>
      <c r="K60" s="23">
        <f t="shared" si="0"/>
        <v>127.26325836549599</v>
      </c>
      <c r="L60" s="36"/>
      <c r="M60" s="24">
        <f>L52/I60</f>
        <v>49896.567018102105</v>
      </c>
      <c r="N60" s="22">
        <f t="shared" si="5"/>
        <v>9.2190711203260806E-2</v>
      </c>
      <c r="O60" s="23">
        <f t="shared" si="6"/>
        <v>1380.4347173860901</v>
      </c>
    </row>
    <row r="61" spans="1:15" x14ac:dyDescent="0.55000000000000004">
      <c r="A61" s="21">
        <v>2.5</v>
      </c>
      <c r="B61" s="21">
        <v>-0.5</v>
      </c>
      <c r="C61" s="1">
        <v>-0.27034133175272101</v>
      </c>
      <c r="D61" s="1">
        <v>1.81102370857421</v>
      </c>
      <c r="E61" s="27">
        <f t="shared" si="23"/>
        <v>2.770341331752721</v>
      </c>
      <c r="F61" s="25">
        <f t="shared" si="24"/>
        <v>0.68897629142578998</v>
      </c>
      <c r="G61" s="21">
        <v>100</v>
      </c>
      <c r="H61" s="22">
        <v>100000</v>
      </c>
      <c r="I61" s="22">
        <f t="shared" si="25"/>
        <v>2.2965866824727899E-3</v>
      </c>
      <c r="J61" s="22">
        <f t="shared" si="26"/>
        <v>1.8110237085742099E-5</v>
      </c>
      <c r="K61" s="23">
        <f t="shared" si="0"/>
        <v>126.81151945166174</v>
      </c>
      <c r="L61" s="36"/>
      <c r="M61" s="24">
        <f>L52/I61</f>
        <v>50074.312838989703</v>
      </c>
      <c r="N61" s="22">
        <f t="shared" si="5"/>
        <v>9.1863467298911594E-2</v>
      </c>
      <c r="O61" s="23">
        <f t="shared" si="6"/>
        <v>1380.434716654378</v>
      </c>
    </row>
    <row r="62" spans="1:15" x14ac:dyDescent="0.55000000000000004">
      <c r="A62" s="10">
        <v>2</v>
      </c>
      <c r="B62" s="10">
        <v>-5</v>
      </c>
      <c r="C62" s="1">
        <v>-4.8288746520526802</v>
      </c>
      <c r="D62" s="1">
        <v>1.3228122210461</v>
      </c>
      <c r="E62" s="28">
        <f>A62-C62</f>
        <v>6.8288746520526802</v>
      </c>
      <c r="F62" s="3">
        <f>A62-D62</f>
        <v>0.67718777895390003</v>
      </c>
      <c r="G62" s="10">
        <v>100</v>
      </c>
      <c r="H62" s="11">
        <v>100000</v>
      </c>
      <c r="I62" s="11">
        <f>(C62-B62)/G62</f>
        <v>1.7112534794731982E-3</v>
      </c>
      <c r="J62" s="11">
        <f>(D62-0)/H62</f>
        <v>1.3228122210460999E-5</v>
      </c>
      <c r="K62" s="6">
        <f t="shared" si="0"/>
        <v>129.36480720747448</v>
      </c>
      <c r="L62" s="30">
        <f>0.0016/(0.00001)</f>
        <v>160</v>
      </c>
      <c r="M62" s="17">
        <f>L62/I62</f>
        <v>93498.714199403868</v>
      </c>
      <c r="N62" s="11">
        <f t="shared" si="5"/>
        <v>6.8450139178927921E-2</v>
      </c>
      <c r="O62" s="6">
        <f t="shared" si="6"/>
        <v>1889.9129900863497</v>
      </c>
    </row>
    <row r="63" spans="1:15" x14ac:dyDescent="0.55000000000000004">
      <c r="A63" s="10">
        <v>2</v>
      </c>
      <c r="B63" s="10">
        <v>-4.5</v>
      </c>
      <c r="C63" s="1">
        <v>-4.3294660250039403</v>
      </c>
      <c r="D63" s="1">
        <v>1.3228122229592001</v>
      </c>
      <c r="E63" s="28">
        <f t="shared" ref="E63:E71" si="27">A63-C63</f>
        <v>6.3294660250039403</v>
      </c>
      <c r="F63" s="3">
        <f t="shared" ref="F63:F71" si="28">A63-D63</f>
        <v>0.67718777704079991</v>
      </c>
      <c r="G63" s="10">
        <v>100</v>
      </c>
      <c r="H63" s="11">
        <v>100000</v>
      </c>
      <c r="I63" s="11">
        <f t="shared" ref="I63:I71" si="29">(C63-B63)/G63</f>
        <v>1.705339749960597E-3</v>
      </c>
      <c r="J63" s="11">
        <f t="shared" ref="J63:J71" si="30">(D63-0)/H63</f>
        <v>1.3228122229592E-5</v>
      </c>
      <c r="K63" s="6">
        <f t="shared" si="0"/>
        <v>128.91774965199997</v>
      </c>
      <c r="L63" s="35"/>
      <c r="M63" s="17">
        <f>L62/I63</f>
        <v>93822.946426773255</v>
      </c>
      <c r="N63" s="11">
        <f t="shared" si="5"/>
        <v>6.8213589998423876E-2</v>
      </c>
      <c r="O63" s="6">
        <f t="shared" si="6"/>
        <v>1889.9129873530874</v>
      </c>
    </row>
    <row r="64" spans="1:15" x14ac:dyDescent="0.55000000000000004">
      <c r="A64" s="10">
        <v>2</v>
      </c>
      <c r="B64" s="10">
        <v>-4</v>
      </c>
      <c r="C64" s="1">
        <v>-3.8300573981316801</v>
      </c>
      <c r="D64" s="1">
        <v>1.3228122229914301</v>
      </c>
      <c r="E64" s="28">
        <f t="shared" si="27"/>
        <v>5.8300573981316806</v>
      </c>
      <c r="F64" s="3">
        <f t="shared" si="28"/>
        <v>0.67718777700856991</v>
      </c>
      <c r="G64" s="10">
        <v>100</v>
      </c>
      <c r="H64" s="11">
        <v>100000</v>
      </c>
      <c r="I64" s="11">
        <f t="shared" si="29"/>
        <v>1.6994260186831988E-3</v>
      </c>
      <c r="J64" s="11">
        <f t="shared" si="30"/>
        <v>1.3228122229914301E-5</v>
      </c>
      <c r="K64" s="6">
        <f t="shared" si="0"/>
        <v>128.47069214707494</v>
      </c>
      <c r="L64" s="35"/>
      <c r="M64" s="17">
        <f>L62/I64</f>
        <v>94149.435304030529</v>
      </c>
      <c r="N64" s="11">
        <f t="shared" si="5"/>
        <v>6.7977040747327952E-2</v>
      </c>
      <c r="O64" s="6">
        <f t="shared" si="6"/>
        <v>1889.9129873070401</v>
      </c>
    </row>
    <row r="65" spans="1:15" x14ac:dyDescent="0.55000000000000004">
      <c r="A65" s="10">
        <v>2</v>
      </c>
      <c r="B65" s="10">
        <v>-3.5</v>
      </c>
      <c r="C65" s="1">
        <v>-3.3306487714350399</v>
      </c>
      <c r="D65" s="1">
        <v>1.32281222114273</v>
      </c>
      <c r="E65" s="28">
        <f t="shared" si="27"/>
        <v>5.3306487714350403</v>
      </c>
      <c r="F65" s="3">
        <f t="shared" si="28"/>
        <v>0.67718777885727</v>
      </c>
      <c r="G65" s="10">
        <v>100</v>
      </c>
      <c r="H65" s="11">
        <v>100000</v>
      </c>
      <c r="I65" s="11">
        <f t="shared" si="29"/>
        <v>1.6935122856496011E-3</v>
      </c>
      <c r="J65" s="11">
        <f t="shared" si="30"/>
        <v>1.3228122211427301E-5</v>
      </c>
      <c r="K65" s="6">
        <f t="shared" si="0"/>
        <v>128.02363469144822</v>
      </c>
      <c r="L65" s="35"/>
      <c r="M65" s="17">
        <f>L62/I65</f>
        <v>94478.204472326499</v>
      </c>
      <c r="N65" s="11">
        <f t="shared" si="5"/>
        <v>6.774049142598404E-2</v>
      </c>
      <c r="O65" s="6">
        <f t="shared" si="6"/>
        <v>1889.9129899482934</v>
      </c>
    </row>
    <row r="66" spans="1:15" x14ac:dyDescent="0.55000000000000004">
      <c r="A66" s="10">
        <v>2</v>
      </c>
      <c r="B66" s="10">
        <v>-3</v>
      </c>
      <c r="C66" s="1">
        <v>-2.83124014491159</v>
      </c>
      <c r="D66" s="1">
        <v>1.3228122174126999</v>
      </c>
      <c r="E66" s="28">
        <f t="shared" si="27"/>
        <v>4.8312401449115896</v>
      </c>
      <c r="F66" s="3">
        <f t="shared" si="28"/>
        <v>0.67718778258730006</v>
      </c>
      <c r="G66" s="10">
        <v>100</v>
      </c>
      <c r="H66" s="11">
        <v>100000</v>
      </c>
      <c r="I66" s="11">
        <f t="shared" si="29"/>
        <v>1.6875985508840996E-3</v>
      </c>
      <c r="J66" s="11">
        <f t="shared" si="30"/>
        <v>1.3228122174126999E-5</v>
      </c>
      <c r="K66" s="6">
        <f t="shared" ref="K66:K91" si="31">I66/J66</f>
        <v>127.57657728508802</v>
      </c>
      <c r="L66" s="35"/>
      <c r="M66" s="17">
        <f>L62/I66</f>
        <v>94809.277903313647</v>
      </c>
      <c r="N66" s="11">
        <f t="shared" si="5"/>
        <v>6.7503942035363987E-2</v>
      </c>
      <c r="O66" s="6">
        <f t="shared" si="6"/>
        <v>1889.912995277419</v>
      </c>
    </row>
    <row r="67" spans="1:15" x14ac:dyDescent="0.55000000000000004">
      <c r="A67" s="10">
        <v>2</v>
      </c>
      <c r="B67" s="10">
        <v>-2.5</v>
      </c>
      <c r="C67" s="1">
        <v>-2.3318315185581899</v>
      </c>
      <c r="D67" s="1">
        <v>1.3228122118008001</v>
      </c>
      <c r="E67" s="28">
        <f t="shared" si="27"/>
        <v>4.3318315185581895</v>
      </c>
      <c r="F67" s="3">
        <f t="shared" si="28"/>
        <v>0.67718778819919989</v>
      </c>
      <c r="G67" s="10">
        <v>100</v>
      </c>
      <c r="H67" s="11">
        <v>100000</v>
      </c>
      <c r="I67" s="11">
        <f t="shared" si="29"/>
        <v>1.6816848144181008E-3</v>
      </c>
      <c r="J67" s="11">
        <f t="shared" si="30"/>
        <v>1.3228122118008002E-5</v>
      </c>
      <c r="K67" s="6">
        <f t="shared" si="31"/>
        <v>127.12951992851292</v>
      </c>
      <c r="L67" s="35"/>
      <c r="M67" s="17">
        <f>L62/I67</f>
        <v>95142.679905427736</v>
      </c>
      <c r="N67" s="11">
        <f t="shared" ref="N67:N91" si="32">I67/0.025</f>
        <v>6.7267392576724025E-2</v>
      </c>
      <c r="O67" s="6">
        <f t="shared" ref="O67:O91" si="33">0.025/J67</f>
        <v>1889.9130032951878</v>
      </c>
    </row>
    <row r="68" spans="1:15" x14ac:dyDescent="0.55000000000000004">
      <c r="A68" s="10">
        <v>2</v>
      </c>
      <c r="B68" s="10">
        <v>-2</v>
      </c>
      <c r="C68" s="1">
        <v>-1.8324228900379</v>
      </c>
      <c r="D68" s="1">
        <v>1.3228122278513399</v>
      </c>
      <c r="E68" s="28">
        <f t="shared" si="27"/>
        <v>3.8324228900379</v>
      </c>
      <c r="F68" s="3">
        <f t="shared" si="28"/>
        <v>0.67718777214866011</v>
      </c>
      <c r="G68" s="10">
        <v>100</v>
      </c>
      <c r="H68" s="11">
        <v>100000</v>
      </c>
      <c r="I68" s="11">
        <f t="shared" si="29"/>
        <v>1.6757710996209995E-3</v>
      </c>
      <c r="J68" s="11">
        <f t="shared" si="30"/>
        <v>1.32281222785134E-5</v>
      </c>
      <c r="K68" s="6">
        <f t="shared" si="31"/>
        <v>126.68246213167949</v>
      </c>
      <c r="L68" s="35"/>
      <c r="M68" s="17">
        <f>L62/I68</f>
        <v>95478.43380052704</v>
      </c>
      <c r="N68" s="11">
        <f t="shared" si="32"/>
        <v>6.703084398483998E-2</v>
      </c>
      <c r="O68" s="6">
        <f t="shared" si="33"/>
        <v>1889.9129803636458</v>
      </c>
    </row>
    <row r="69" spans="1:15" x14ac:dyDescent="0.55000000000000004">
      <c r="A69" s="10">
        <v>2</v>
      </c>
      <c r="B69" s="10">
        <v>-1.5</v>
      </c>
      <c r="C69" s="1">
        <v>-1.33301426448307</v>
      </c>
      <c r="D69" s="1">
        <v>1.3228122137709599</v>
      </c>
      <c r="E69" s="28">
        <f t="shared" si="27"/>
        <v>3.33301426448307</v>
      </c>
      <c r="F69" s="3">
        <f t="shared" si="28"/>
        <v>0.67718778622904008</v>
      </c>
      <c r="G69" s="10">
        <v>100</v>
      </c>
      <c r="H69" s="11">
        <v>100000</v>
      </c>
      <c r="I69" s="11">
        <f t="shared" si="29"/>
        <v>1.6698573551692996E-3</v>
      </c>
      <c r="J69" s="11">
        <f t="shared" si="30"/>
        <v>1.32281221377096E-5</v>
      </c>
      <c r="K69" s="6">
        <f t="shared" si="31"/>
        <v>126.23540497929127</v>
      </c>
      <c r="L69" s="35"/>
      <c r="M69" s="17">
        <f>L62/I69</f>
        <v>95816.567507814631</v>
      </c>
      <c r="N69" s="11">
        <f t="shared" si="32"/>
        <v>6.6794294206771979E-2</v>
      </c>
      <c r="O69" s="6">
        <f t="shared" si="33"/>
        <v>1889.9130004804038</v>
      </c>
    </row>
    <row r="70" spans="1:15" x14ac:dyDescent="0.55000000000000004">
      <c r="A70" s="10">
        <v>2</v>
      </c>
      <c r="B70" s="10">
        <v>-1</v>
      </c>
      <c r="C70" s="1">
        <v>-0.83360563595970705</v>
      </c>
      <c r="D70" s="1">
        <v>1.32281222980802</v>
      </c>
      <c r="E70" s="28">
        <f t="shared" si="27"/>
        <v>2.833605635959707</v>
      </c>
      <c r="F70" s="3">
        <f t="shared" si="28"/>
        <v>0.67718777019197995</v>
      </c>
      <c r="G70" s="10">
        <v>100</v>
      </c>
      <c r="H70" s="11">
        <v>100000</v>
      </c>
      <c r="I70" s="11">
        <f t="shared" si="29"/>
        <v>1.6639436404029294E-3</v>
      </c>
      <c r="J70" s="11">
        <f t="shared" si="30"/>
        <v>1.3228122298080201E-5</v>
      </c>
      <c r="K70" s="6">
        <f t="shared" si="31"/>
        <v>125.78834719757752</v>
      </c>
      <c r="L70" s="35"/>
      <c r="M70" s="17">
        <f>L62/I70</f>
        <v>96157.102990132204</v>
      </c>
      <c r="N70" s="11">
        <f t="shared" si="32"/>
        <v>6.6557745616117173E-2</v>
      </c>
      <c r="O70" s="6">
        <f t="shared" si="33"/>
        <v>1889.9129775681204</v>
      </c>
    </row>
    <row r="71" spans="1:15" x14ac:dyDescent="0.55000000000000004">
      <c r="A71" s="10">
        <v>2</v>
      </c>
      <c r="B71" s="10">
        <v>-0.5</v>
      </c>
      <c r="C71" s="1">
        <v>-0.334197010367347</v>
      </c>
      <c r="D71" s="1">
        <v>1.3228122157797499</v>
      </c>
      <c r="E71" s="28">
        <f t="shared" si="27"/>
        <v>2.3341970103673471</v>
      </c>
      <c r="F71" s="3">
        <f t="shared" si="28"/>
        <v>0.67718778422025006</v>
      </c>
      <c r="G71" s="10">
        <v>100</v>
      </c>
      <c r="H71" s="11">
        <v>100000</v>
      </c>
      <c r="I71" s="11">
        <f t="shared" si="29"/>
        <v>1.65802989632653E-3</v>
      </c>
      <c r="J71" s="11">
        <f t="shared" si="30"/>
        <v>1.32281221577975E-5</v>
      </c>
      <c r="K71" s="6">
        <f t="shared" si="31"/>
        <v>125.3412900597672</v>
      </c>
      <c r="L71" s="35"/>
      <c r="M71" s="17">
        <f>L62/I71</f>
        <v>96500.069362132796</v>
      </c>
      <c r="N71" s="11">
        <f t="shared" si="32"/>
        <v>6.6321195853061191E-2</v>
      </c>
      <c r="O71" s="6">
        <f t="shared" si="33"/>
        <v>1889.9129976104284</v>
      </c>
    </row>
    <row r="72" spans="1:15" x14ac:dyDescent="0.55000000000000004">
      <c r="A72" s="12">
        <v>1.5</v>
      </c>
      <c r="B72" s="12">
        <v>-5</v>
      </c>
      <c r="C72" s="1">
        <v>-4.8937893258970302</v>
      </c>
      <c r="D72" s="1">
        <v>0.83993533018383504</v>
      </c>
      <c r="E72" s="29">
        <f>A72-C72</f>
        <v>6.3937893258970302</v>
      </c>
      <c r="F72" s="4">
        <f>A72-D72</f>
        <v>0.66006466981616496</v>
      </c>
      <c r="G72" s="12">
        <v>100</v>
      </c>
      <c r="H72" s="13">
        <v>100000</v>
      </c>
      <c r="I72" s="13">
        <f>(C72-B72)/G72</f>
        <v>1.0621067410296981E-3</v>
      </c>
      <c r="J72" s="13">
        <f>(D72-0)/H72</f>
        <v>8.3993533018383503E-6</v>
      </c>
      <c r="K72" s="7">
        <f t="shared" si="31"/>
        <v>126.45101388903795</v>
      </c>
      <c r="L72" s="32">
        <f>0.001/(0.000007)</f>
        <v>142.85714285714286</v>
      </c>
      <c r="M72" s="18">
        <f>L72/I72</f>
        <v>134503.56479109134</v>
      </c>
      <c r="N72" s="13">
        <f t="shared" si="32"/>
        <v>4.248426964118792E-2</v>
      </c>
      <c r="O72" s="7">
        <f t="shared" si="33"/>
        <v>2976.4196244165964</v>
      </c>
    </row>
    <row r="73" spans="1:15" x14ac:dyDescent="0.55000000000000004">
      <c r="A73" s="12">
        <v>1.5</v>
      </c>
      <c r="B73" s="12">
        <v>-4.5</v>
      </c>
      <c r="C73" s="1">
        <v>-4.3941564358488501</v>
      </c>
      <c r="D73" s="1">
        <v>0.83993533116475705</v>
      </c>
      <c r="E73" s="29">
        <f t="shared" ref="E73:E81" si="34">A73-C73</f>
        <v>5.8941564358488501</v>
      </c>
      <c r="F73" s="4">
        <f t="shared" ref="F73:F81" si="35">A73-D73</f>
        <v>0.66006466883524295</v>
      </c>
      <c r="G73" s="12">
        <v>100</v>
      </c>
      <c r="H73" s="13">
        <v>100000</v>
      </c>
      <c r="I73" s="13">
        <f t="shared" ref="I73:I81" si="36">(C73-B73)/G73</f>
        <v>1.0584356415114992E-3</v>
      </c>
      <c r="J73" s="13">
        <f t="shared" ref="J73:J81" si="37">(D73-0)/H73</f>
        <v>8.3993533116475712E-6</v>
      </c>
      <c r="K73" s="7">
        <f t="shared" si="31"/>
        <v>126.0139444359059</v>
      </c>
      <c r="L73" s="31"/>
      <c r="M73" s="18">
        <f>L72/I73</f>
        <v>134970.07966694667</v>
      </c>
      <c r="N73" s="13">
        <f t="shared" si="32"/>
        <v>4.2337425660459969E-2</v>
      </c>
      <c r="O73" s="7">
        <f t="shared" si="33"/>
        <v>2976.4196209405718</v>
      </c>
    </row>
    <row r="74" spans="1:15" x14ac:dyDescent="0.55000000000000004">
      <c r="A74" s="12">
        <v>1.5</v>
      </c>
      <c r="B74" s="12">
        <v>-4</v>
      </c>
      <c r="C74" s="1">
        <v>-3.8945235457885201</v>
      </c>
      <c r="D74" s="1">
        <v>0.83993533214546801</v>
      </c>
      <c r="E74" s="29">
        <f t="shared" si="34"/>
        <v>5.3945235457885197</v>
      </c>
      <c r="F74" s="4">
        <f t="shared" si="35"/>
        <v>0.66006466785453199</v>
      </c>
      <c r="G74" s="12">
        <v>100</v>
      </c>
      <c r="H74" s="13">
        <v>100000</v>
      </c>
      <c r="I74" s="13">
        <f t="shared" si="36"/>
        <v>1.0547645421147989E-3</v>
      </c>
      <c r="J74" s="13">
        <f t="shared" si="37"/>
        <v>8.3993533214546796E-6</v>
      </c>
      <c r="K74" s="7">
        <f t="shared" si="31"/>
        <v>125.57687499829152</v>
      </c>
      <c r="L74" s="31"/>
      <c r="M74" s="18">
        <f>L72/I74</f>
        <v>135439.84192975887</v>
      </c>
      <c r="N74" s="13">
        <f t="shared" si="32"/>
        <v>4.2190581684591957E-2</v>
      </c>
      <c r="O74" s="7">
        <f t="shared" si="33"/>
        <v>2976.4196174652961</v>
      </c>
    </row>
    <row r="75" spans="1:15" x14ac:dyDescent="0.55000000000000004">
      <c r="A75" s="12">
        <v>1.5</v>
      </c>
      <c r="B75" s="12">
        <v>-3.5</v>
      </c>
      <c r="C75" s="1">
        <v>-3.3948906557160998</v>
      </c>
      <c r="D75" s="1">
        <v>0.83993533312597701</v>
      </c>
      <c r="E75" s="29">
        <f t="shared" si="34"/>
        <v>4.8948906557161003</v>
      </c>
      <c r="F75" s="4">
        <f t="shared" si="35"/>
        <v>0.66006466687402299</v>
      </c>
      <c r="G75" s="12">
        <v>100</v>
      </c>
      <c r="H75" s="13">
        <v>100000</v>
      </c>
      <c r="I75" s="13">
        <f t="shared" si="36"/>
        <v>1.0510934428390017E-3</v>
      </c>
      <c r="J75" s="13">
        <f t="shared" si="37"/>
        <v>8.3993533312597704E-6</v>
      </c>
      <c r="K75" s="7">
        <f t="shared" si="31"/>
        <v>125.13980557612217</v>
      </c>
      <c r="L75" s="31"/>
      <c r="M75" s="18">
        <f>L72/I75</f>
        <v>135912.88560538058</v>
      </c>
      <c r="N75" s="13">
        <f t="shared" si="32"/>
        <v>4.2043737713560063E-2</v>
      </c>
      <c r="O75" s="7">
        <f t="shared" si="33"/>
        <v>2976.4196139907353</v>
      </c>
    </row>
    <row r="76" spans="1:15" x14ac:dyDescent="0.55000000000000004">
      <c r="A76" s="12">
        <v>1.5</v>
      </c>
      <c r="B76" s="12">
        <v>-3</v>
      </c>
      <c r="C76" s="1">
        <v>-2.8952577656292702</v>
      </c>
      <c r="D76" s="1">
        <v>0.83993533410550802</v>
      </c>
      <c r="E76" s="29">
        <f t="shared" si="34"/>
        <v>4.3952577656292702</v>
      </c>
      <c r="F76" s="4">
        <f t="shared" si="35"/>
        <v>0.66006466589449198</v>
      </c>
      <c r="G76" s="12">
        <v>100</v>
      </c>
      <c r="H76" s="13">
        <v>100000</v>
      </c>
      <c r="I76" s="13">
        <f t="shared" si="36"/>
        <v>1.0474223437072982E-3</v>
      </c>
      <c r="J76" s="13">
        <f t="shared" si="37"/>
        <v>8.3993533410550796E-6</v>
      </c>
      <c r="K76" s="7">
        <f t="shared" si="31"/>
        <v>124.70273617227382</v>
      </c>
      <c r="L76" s="31"/>
      <c r="M76" s="18">
        <f>L72/I76</f>
        <v>136389.24519359332</v>
      </c>
      <c r="N76" s="13">
        <f t="shared" si="32"/>
        <v>4.1896893748291926E-2</v>
      </c>
      <c r="O76" s="7">
        <f t="shared" si="33"/>
        <v>2976.4196105196406</v>
      </c>
    </row>
    <row r="77" spans="1:15" x14ac:dyDescent="0.55000000000000004">
      <c r="A77" s="12">
        <v>1.5</v>
      </c>
      <c r="B77" s="12">
        <v>-2.5</v>
      </c>
      <c r="C77" s="1">
        <v>-2.3956248755306899</v>
      </c>
      <c r="D77" s="1">
        <v>0.83993533508495899</v>
      </c>
      <c r="E77" s="29">
        <f t="shared" si="34"/>
        <v>3.8956248755306899</v>
      </c>
      <c r="F77" s="4">
        <f t="shared" si="35"/>
        <v>0.66006466491504101</v>
      </c>
      <c r="G77" s="12">
        <v>100</v>
      </c>
      <c r="H77" s="13">
        <v>100000</v>
      </c>
      <c r="I77" s="13">
        <f t="shared" si="36"/>
        <v>1.0437512446931007E-3</v>
      </c>
      <c r="J77" s="13">
        <f t="shared" si="37"/>
        <v>8.3993533508495893E-6</v>
      </c>
      <c r="K77" s="7">
        <f t="shared" si="31"/>
        <v>124.2656667834466</v>
      </c>
      <c r="L77" s="31"/>
      <c r="M77" s="18">
        <f>L72/I77</f>
        <v>136868.95568603402</v>
      </c>
      <c r="N77" s="13">
        <f t="shared" si="32"/>
        <v>4.1750049787724029E-2</v>
      </c>
      <c r="O77" s="7">
        <f t="shared" si="33"/>
        <v>2976.4196070488292</v>
      </c>
    </row>
    <row r="78" spans="1:15" x14ac:dyDescent="0.55000000000000004">
      <c r="A78" s="12">
        <v>1.5</v>
      </c>
      <c r="B78" s="12">
        <v>-2</v>
      </c>
      <c r="C78" s="1">
        <v>-1.89599198541888</v>
      </c>
      <c r="D78" s="1">
        <v>0.83993533606382997</v>
      </c>
      <c r="E78" s="29">
        <f t="shared" si="34"/>
        <v>3.3959919854188803</v>
      </c>
      <c r="F78" s="4">
        <f t="shared" si="35"/>
        <v>0.66006466393617003</v>
      </c>
      <c r="G78" s="12">
        <v>100</v>
      </c>
      <c r="H78" s="13">
        <v>100000</v>
      </c>
      <c r="I78" s="13">
        <f t="shared" si="36"/>
        <v>1.0400801458111996E-3</v>
      </c>
      <c r="J78" s="13">
        <f t="shared" si="37"/>
        <v>8.3993533606383001E-6</v>
      </c>
      <c r="K78" s="7">
        <f t="shared" si="31"/>
        <v>123.82859741147499</v>
      </c>
      <c r="L78" s="31"/>
      <c r="M78" s="18">
        <f>L72/I78</f>
        <v>137352.05256295219</v>
      </c>
      <c r="N78" s="13">
        <f t="shared" si="32"/>
        <v>4.1603205832447983E-2</v>
      </c>
      <c r="O78" s="7">
        <f t="shared" si="33"/>
        <v>2976.4196035800728</v>
      </c>
    </row>
    <row r="79" spans="1:15" x14ac:dyDescent="0.55000000000000004">
      <c r="A79" s="12">
        <v>1.5</v>
      </c>
      <c r="B79" s="12">
        <v>-1.5</v>
      </c>
      <c r="C79" s="1">
        <v>-1.39635909529442</v>
      </c>
      <c r="D79" s="1">
        <v>0.83993533704232104</v>
      </c>
      <c r="E79" s="29">
        <f t="shared" si="34"/>
        <v>2.8963590952944198</v>
      </c>
      <c r="F79" s="4">
        <f t="shared" si="35"/>
        <v>0.66006466295767896</v>
      </c>
      <c r="G79" s="12">
        <v>100</v>
      </c>
      <c r="H79" s="13">
        <v>100000</v>
      </c>
      <c r="I79" s="13">
        <f t="shared" si="36"/>
        <v>1.0364090470557996E-3</v>
      </c>
      <c r="J79" s="13">
        <f t="shared" si="37"/>
        <v>8.3993533704232112E-6</v>
      </c>
      <c r="K79" s="7">
        <f t="shared" si="31"/>
        <v>123.39152805563876</v>
      </c>
      <c r="L79" s="31"/>
      <c r="M79" s="18">
        <f>L72/I79</f>
        <v>137838.57181000806</v>
      </c>
      <c r="N79" s="13">
        <f t="shared" si="32"/>
        <v>4.1456361882231986E-2</v>
      </c>
      <c r="O79" s="7">
        <f t="shared" si="33"/>
        <v>2976.4196001126629</v>
      </c>
    </row>
    <row r="80" spans="1:15" x14ac:dyDescent="0.55000000000000004">
      <c r="A80" s="12">
        <v>1.5</v>
      </c>
      <c r="B80" s="12">
        <v>-1</v>
      </c>
      <c r="C80" s="1">
        <v>-0.89672620515652401</v>
      </c>
      <c r="D80" s="1">
        <v>0.83993533802015896</v>
      </c>
      <c r="E80" s="29">
        <f t="shared" si="34"/>
        <v>2.3967262051565239</v>
      </c>
      <c r="F80" s="4">
        <f t="shared" si="35"/>
        <v>0.66006466197984104</v>
      </c>
      <c r="G80" s="12">
        <v>100</v>
      </c>
      <c r="H80" s="13">
        <v>100000</v>
      </c>
      <c r="I80" s="13">
        <f t="shared" si="36"/>
        <v>1.0327379484347599E-3</v>
      </c>
      <c r="J80" s="13">
        <f t="shared" si="37"/>
        <v>8.3993533802015899E-6</v>
      </c>
      <c r="K80" s="7">
        <f t="shared" si="31"/>
        <v>122.95445871691298</v>
      </c>
      <c r="L80" s="31"/>
      <c r="M80" s="18">
        <f>L72/I80</f>
        <v>138328.54992271782</v>
      </c>
      <c r="N80" s="13">
        <f t="shared" si="32"/>
        <v>4.1309517937390391E-2</v>
      </c>
      <c r="O80" s="7">
        <f t="shared" si="33"/>
        <v>2976.4195966475677</v>
      </c>
    </row>
    <row r="81" spans="1:15" x14ac:dyDescent="0.55000000000000004">
      <c r="A81" s="12">
        <v>1.5</v>
      </c>
      <c r="B81" s="12">
        <v>-0.5</v>
      </c>
      <c r="C81" s="1">
        <v>-0.39709331500613498</v>
      </c>
      <c r="D81" s="1">
        <v>0.83993533899766804</v>
      </c>
      <c r="E81" s="29">
        <f t="shared" si="34"/>
        <v>1.8970933150061349</v>
      </c>
      <c r="F81" s="4">
        <f t="shared" si="35"/>
        <v>0.66006466100233196</v>
      </c>
      <c r="G81" s="12">
        <v>100</v>
      </c>
      <c r="H81" s="13">
        <v>100000</v>
      </c>
      <c r="I81" s="13">
        <f t="shared" si="36"/>
        <v>1.0290668499386502E-3</v>
      </c>
      <c r="J81" s="13">
        <f t="shared" si="37"/>
        <v>8.3993533899766805E-6</v>
      </c>
      <c r="K81" s="7">
        <f t="shared" si="31"/>
        <v>122.5173893941266</v>
      </c>
      <c r="L81" s="31"/>
      <c r="M81" s="18">
        <f>L72/I81</f>
        <v>138822.02391968953</v>
      </c>
      <c r="N81" s="13">
        <f t="shared" si="32"/>
        <v>4.1162673997546008E-2</v>
      </c>
      <c r="O81" s="7">
        <f t="shared" si="33"/>
        <v>2976.419593183638</v>
      </c>
    </row>
    <row r="82" spans="1:15" x14ac:dyDescent="0.55000000000000004">
      <c r="A82" s="8">
        <v>1</v>
      </c>
      <c r="B82" s="8">
        <v>-5</v>
      </c>
      <c r="C82" s="19">
        <v>-4.9556338461296798</v>
      </c>
      <c r="D82" s="20">
        <v>0.37101543194822101</v>
      </c>
      <c r="E82" s="26">
        <f>A82-C82</f>
        <v>5.9556338461296798</v>
      </c>
      <c r="F82" s="2">
        <f>A82-D82</f>
        <v>0.62898456805177894</v>
      </c>
      <c r="G82" s="8">
        <v>100</v>
      </c>
      <c r="H82" s="9">
        <v>100000</v>
      </c>
      <c r="I82" s="9">
        <f>(C82-B82)/G82</f>
        <v>4.4366153870320171E-4</v>
      </c>
      <c r="J82" s="9">
        <f>(D82-0)/H82</f>
        <v>3.71015431948221E-6</v>
      </c>
      <c r="K82" s="5">
        <f t="shared" si="31"/>
        <v>119.58034639516536</v>
      </c>
      <c r="L82" s="33">
        <f>0.0004/(0.000003)</f>
        <v>133.33333333333334</v>
      </c>
      <c r="M82" s="16">
        <f>L82/I82</f>
        <v>300529.39392280736</v>
      </c>
      <c r="N82" s="9">
        <f t="shared" si="32"/>
        <v>1.7746461548128069E-2</v>
      </c>
      <c r="O82" s="5">
        <f t="shared" si="33"/>
        <v>6738.2641926034512</v>
      </c>
    </row>
    <row r="83" spans="1:15" x14ac:dyDescent="0.55000000000000004">
      <c r="A83" s="8">
        <v>1</v>
      </c>
      <c r="B83" s="8">
        <v>-4.5</v>
      </c>
      <c r="C83" s="19">
        <v>-4.4557868122435798</v>
      </c>
      <c r="D83" s="20">
        <v>0.371015447393655</v>
      </c>
      <c r="E83" s="26">
        <f t="shared" ref="E83:E91" si="38">A83-C83</f>
        <v>5.4557868122435798</v>
      </c>
      <c r="F83" s="2">
        <f t="shared" ref="F83:F91" si="39">A83-D83</f>
        <v>0.628984552606345</v>
      </c>
      <c r="G83" s="8">
        <v>100</v>
      </c>
      <c r="H83" s="9">
        <v>100000</v>
      </c>
      <c r="I83" s="9">
        <f t="shared" ref="I83:I91" si="40">(C83-B83)/G83</f>
        <v>4.4213187756420247E-4</v>
      </c>
      <c r="J83" s="9">
        <f t="shared" ref="J83:J91" si="41">(D83-0)/H83</f>
        <v>3.7101544739365499E-6</v>
      </c>
      <c r="K83" s="5">
        <f t="shared" si="31"/>
        <v>119.16805099899021</v>
      </c>
      <c r="L83" s="31"/>
      <c r="M83" s="16">
        <f>L82/I83</f>
        <v>301569.14735009545</v>
      </c>
      <c r="N83" s="9">
        <f t="shared" si="32"/>
        <v>1.7685275102568097E-2</v>
      </c>
      <c r="O83" s="5">
        <f t="shared" si="33"/>
        <v>6738.2639120884069</v>
      </c>
    </row>
    <row r="84" spans="1:15" x14ac:dyDescent="0.55000000000000004">
      <c r="A84" s="8">
        <v>1</v>
      </c>
      <c r="B84" s="8">
        <v>-4</v>
      </c>
      <c r="C84" s="19">
        <v>-3.95593978386542</v>
      </c>
      <c r="D84" s="20">
        <v>0.37101543497689599</v>
      </c>
      <c r="E84" s="26">
        <f t="shared" si="38"/>
        <v>4.9559397838654196</v>
      </c>
      <c r="F84" s="2">
        <f t="shared" si="39"/>
        <v>0.62898456502310407</v>
      </c>
      <c r="G84" s="8">
        <v>100</v>
      </c>
      <c r="H84" s="9">
        <v>100000</v>
      </c>
      <c r="I84" s="9">
        <f t="shared" si="40"/>
        <v>4.4060216134580001E-4</v>
      </c>
      <c r="J84" s="9">
        <f t="shared" si="41"/>
        <v>3.7101543497689598E-6</v>
      </c>
      <c r="K84" s="5">
        <f t="shared" si="31"/>
        <v>118.75574970977618</v>
      </c>
      <c r="L84" s="31"/>
      <c r="M84" s="16">
        <f>L82/I84</f>
        <v>302616.15813701984</v>
      </c>
      <c r="N84" s="9">
        <f t="shared" si="32"/>
        <v>1.7624086453832E-2</v>
      </c>
      <c r="O84" s="5">
        <f t="shared" si="33"/>
        <v>6738.2641375976209</v>
      </c>
    </row>
    <row r="85" spans="1:15" x14ac:dyDescent="0.55000000000000004">
      <c r="A85" s="8">
        <v>1</v>
      </c>
      <c r="B85" s="8">
        <v>-3.5</v>
      </c>
      <c r="C85" s="19">
        <v>-3.4560927499785801</v>
      </c>
      <c r="D85" s="20">
        <v>0.37101545040834699</v>
      </c>
      <c r="E85" s="26">
        <f t="shared" si="38"/>
        <v>4.4560927499785805</v>
      </c>
      <c r="F85" s="2">
        <f t="shared" si="39"/>
        <v>0.62898454959165306</v>
      </c>
      <c r="G85" s="8">
        <v>100</v>
      </c>
      <c r="H85" s="9">
        <v>100000</v>
      </c>
      <c r="I85" s="9">
        <f t="shared" si="40"/>
        <v>4.3907250021419931E-4</v>
      </c>
      <c r="J85" s="9">
        <f t="shared" si="41"/>
        <v>3.7101545040834698E-6</v>
      </c>
      <c r="K85" s="5">
        <f t="shared" si="31"/>
        <v>118.3434543577491</v>
      </c>
      <c r="L85" s="31"/>
      <c r="M85" s="16">
        <f>L82/I85</f>
        <v>303670.4263379905</v>
      </c>
      <c r="N85" s="9">
        <f t="shared" si="32"/>
        <v>1.7562900008567972E-2</v>
      </c>
      <c r="O85" s="5">
        <f t="shared" si="33"/>
        <v>6738.2638573365357</v>
      </c>
    </row>
    <row r="86" spans="1:15" x14ac:dyDescent="0.55000000000000004">
      <c r="A86" s="8">
        <v>1</v>
      </c>
      <c r="B86" s="8">
        <v>-3</v>
      </c>
      <c r="C86" s="19">
        <v>-2.9562457215728699</v>
      </c>
      <c r="D86" s="20">
        <v>0.37101543790931601</v>
      </c>
      <c r="E86" s="26">
        <f t="shared" si="38"/>
        <v>3.9562457215728699</v>
      </c>
      <c r="F86" s="2">
        <f t="shared" si="39"/>
        <v>0.62898456209068399</v>
      </c>
      <c r="G86" s="8">
        <v>100</v>
      </c>
      <c r="H86" s="9">
        <v>100000</v>
      </c>
      <c r="I86" s="9">
        <f t="shared" si="40"/>
        <v>4.3754278427130086E-4</v>
      </c>
      <c r="J86" s="9">
        <f t="shared" si="41"/>
        <v>3.7101543790931604E-6</v>
      </c>
      <c r="K86" s="5">
        <f t="shared" si="31"/>
        <v>117.93115314469624</v>
      </c>
      <c r="L86" s="31"/>
      <c r="M86" s="16">
        <f>L82/I86</f>
        <v>304732.10421100043</v>
      </c>
      <c r="N86" s="9">
        <f t="shared" si="32"/>
        <v>1.7501711370852033E-2</v>
      </c>
      <c r="O86" s="5">
        <f t="shared" si="33"/>
        <v>6738.2640843399422</v>
      </c>
    </row>
    <row r="87" spans="1:15" x14ac:dyDescent="0.55000000000000004">
      <c r="A87" s="8">
        <v>1</v>
      </c>
      <c r="B87" s="8">
        <v>-2.5</v>
      </c>
      <c r="C87" s="19">
        <v>-2.4563986876653301</v>
      </c>
      <c r="D87" s="20">
        <v>0.371015453423028</v>
      </c>
      <c r="E87" s="26">
        <f t="shared" si="38"/>
        <v>3.4563986876653301</v>
      </c>
      <c r="F87" s="2">
        <f t="shared" si="39"/>
        <v>0.628984546576972</v>
      </c>
      <c r="G87" s="8">
        <v>100</v>
      </c>
      <c r="H87" s="9">
        <v>100000</v>
      </c>
      <c r="I87" s="9">
        <f t="shared" si="40"/>
        <v>4.3601312334669908E-4</v>
      </c>
      <c r="J87" s="9">
        <f t="shared" si="41"/>
        <v>3.71015453423028E-6</v>
      </c>
      <c r="K87" s="5">
        <f t="shared" si="31"/>
        <v>117.51885785996127</v>
      </c>
      <c r="L87" s="31"/>
      <c r="M87" s="16">
        <f>L82/I87</f>
        <v>305801.193115264</v>
      </c>
      <c r="N87" s="9">
        <f t="shared" si="32"/>
        <v>1.7440524933867961E-2</v>
      </c>
      <c r="O87" s="5">
        <f t="shared" si="33"/>
        <v>6738.2638025848637</v>
      </c>
    </row>
    <row r="88" spans="1:15" x14ac:dyDescent="0.55000000000000004">
      <c r="A88" s="8">
        <v>1</v>
      </c>
      <c r="B88" s="8">
        <v>-2</v>
      </c>
      <c r="C88" s="19">
        <v>-1.9565516591985199</v>
      </c>
      <c r="D88" s="20">
        <v>0.37101544100662498</v>
      </c>
      <c r="E88" s="26">
        <f t="shared" si="38"/>
        <v>2.9565516591985199</v>
      </c>
      <c r="F88" s="2">
        <f t="shared" si="39"/>
        <v>0.62898455899337502</v>
      </c>
      <c r="G88" s="8">
        <v>100</v>
      </c>
      <c r="H88" s="9">
        <v>100000</v>
      </c>
      <c r="I88" s="9">
        <f t="shared" si="40"/>
        <v>4.3448340801480081E-4</v>
      </c>
      <c r="J88" s="9">
        <f t="shared" si="41"/>
        <v>3.7101544100662499E-6</v>
      </c>
      <c r="K88" s="5">
        <f t="shared" si="31"/>
        <v>117.10655676108168</v>
      </c>
      <c r="L88" s="31"/>
      <c r="M88" s="16">
        <f>L82/I88</f>
        <v>306877.84820724686</v>
      </c>
      <c r="N88" s="9">
        <f t="shared" si="32"/>
        <v>1.7379336320592031E-2</v>
      </c>
      <c r="O88" s="5">
        <f t="shared" si="33"/>
        <v>6738.2640280876049</v>
      </c>
    </row>
    <row r="89" spans="1:15" x14ac:dyDescent="0.55000000000000004">
      <c r="A89" s="8">
        <v>1</v>
      </c>
      <c r="B89" s="8">
        <v>-1.5</v>
      </c>
      <c r="C89" s="19">
        <v>-1.4567046253039899</v>
      </c>
      <c r="D89" s="20">
        <v>0.37101545643782202</v>
      </c>
      <c r="E89" s="26">
        <f t="shared" si="38"/>
        <v>2.4567046253039901</v>
      </c>
      <c r="F89" s="2">
        <f t="shared" si="39"/>
        <v>0.62898454356217792</v>
      </c>
      <c r="G89" s="8">
        <v>100</v>
      </c>
      <c r="H89" s="9">
        <v>100000</v>
      </c>
      <c r="I89" s="9">
        <f t="shared" si="40"/>
        <v>4.3295374696010079E-4</v>
      </c>
      <c r="J89" s="9">
        <f t="shared" si="41"/>
        <v>3.7101545643782201E-6</v>
      </c>
      <c r="K89" s="5">
        <f t="shared" si="31"/>
        <v>116.69426150515616</v>
      </c>
      <c r="L89" s="31"/>
      <c r="M89" s="16">
        <f>L82/I89</f>
        <v>307962.07278377196</v>
      </c>
      <c r="N89" s="9">
        <f t="shared" si="32"/>
        <v>1.7318149878404031E-2</v>
      </c>
      <c r="O89" s="5">
        <f t="shared" si="33"/>
        <v>6738.2637478311417</v>
      </c>
    </row>
    <row r="90" spans="1:15" x14ac:dyDescent="0.55000000000000004">
      <c r="A90" s="8">
        <v>1</v>
      </c>
      <c r="B90" s="8">
        <v>-1</v>
      </c>
      <c r="C90" s="19">
        <v>-0.95685759680941096</v>
      </c>
      <c r="D90" s="20">
        <v>0.37101544393900299</v>
      </c>
      <c r="E90" s="26">
        <f t="shared" si="38"/>
        <v>1.9568575968094111</v>
      </c>
      <c r="F90" s="2">
        <f t="shared" si="39"/>
        <v>0.62898455606099701</v>
      </c>
      <c r="G90" s="8">
        <v>100</v>
      </c>
      <c r="H90" s="9">
        <v>100000</v>
      </c>
      <c r="I90" s="9">
        <f t="shared" si="40"/>
        <v>4.3142403190589039E-4</v>
      </c>
      <c r="J90" s="9">
        <f t="shared" si="41"/>
        <v>3.7101544393900299E-6</v>
      </c>
      <c r="K90" s="5">
        <f t="shared" si="31"/>
        <v>116.28196048270672</v>
      </c>
      <c r="L90" s="31"/>
      <c r="M90" s="16">
        <f>L82/I90</f>
        <v>309054.02451576525</v>
      </c>
      <c r="N90" s="9">
        <f t="shared" si="32"/>
        <v>1.7256961276235615E-2</v>
      </c>
      <c r="O90" s="5">
        <f t="shared" si="33"/>
        <v>6738.263974830692</v>
      </c>
    </row>
    <row r="91" spans="1:15" x14ac:dyDescent="0.55000000000000004">
      <c r="A91" s="8">
        <v>1</v>
      </c>
      <c r="B91" s="8">
        <v>-0.5</v>
      </c>
      <c r="C91" s="19">
        <v>-0.457010562894344</v>
      </c>
      <c r="D91" s="20">
        <v>0.371015459452534</v>
      </c>
      <c r="E91" s="26">
        <f t="shared" si="38"/>
        <v>1.4570105628943439</v>
      </c>
      <c r="F91" s="2">
        <f t="shared" si="39"/>
        <v>0.628984540547466</v>
      </c>
      <c r="G91" s="8">
        <v>100</v>
      </c>
      <c r="H91" s="9">
        <v>100000</v>
      </c>
      <c r="I91" s="9">
        <f t="shared" si="40"/>
        <v>4.2989437105656004E-4</v>
      </c>
      <c r="J91" s="9">
        <f t="shared" si="41"/>
        <v>3.7101545945253399E-6</v>
      </c>
      <c r="K91" s="5">
        <f t="shared" si="31"/>
        <v>115.86966529397645</v>
      </c>
      <c r="L91" s="31"/>
      <c r="M91" s="16">
        <f>L82/I91</f>
        <v>310153.70823683345</v>
      </c>
      <c r="N91" s="9">
        <f t="shared" si="32"/>
        <v>1.7195774842262399E-2</v>
      </c>
      <c r="O91" s="5">
        <f t="shared" si="33"/>
        <v>6738.2636930789095</v>
      </c>
    </row>
    <row r="96" spans="1:15" ht="14.7" x14ac:dyDescent="0.55000000000000004">
      <c r="A96" s="1" t="s">
        <v>17</v>
      </c>
      <c r="B96" s="1" t="s">
        <v>18</v>
      </c>
      <c r="C96" s="19" t="s">
        <v>7</v>
      </c>
      <c r="D96" s="19" t="s">
        <v>8</v>
      </c>
      <c r="E96" s="20" t="s">
        <v>19</v>
      </c>
      <c r="F96" s="19" t="s">
        <v>20</v>
      </c>
      <c r="G96" s="1" t="s">
        <v>2</v>
      </c>
      <c r="H96" s="1" t="s">
        <v>3</v>
      </c>
      <c r="I96" s="1" t="s">
        <v>4</v>
      </c>
      <c r="J96" s="1" t="s">
        <v>5</v>
      </c>
      <c r="K96" s="1" t="s">
        <v>6</v>
      </c>
      <c r="L96" s="15" t="s">
        <v>10</v>
      </c>
      <c r="M96" s="15" t="s">
        <v>13</v>
      </c>
      <c r="N96" s="14" t="s">
        <v>11</v>
      </c>
      <c r="O96" s="15" t="s">
        <v>12</v>
      </c>
    </row>
    <row r="97" spans="1:15" x14ac:dyDescent="0.55000000000000004">
      <c r="A97" s="12">
        <v>1.5</v>
      </c>
      <c r="B97" s="12">
        <v>-0.5</v>
      </c>
      <c r="C97" s="1">
        <v>-0.39709331500613498</v>
      </c>
      <c r="D97" s="1">
        <v>0.83993533899766804</v>
      </c>
      <c r="E97" s="29">
        <f t="shared" ref="E97" si="42">A97-C97</f>
        <v>1.8970933150061349</v>
      </c>
      <c r="F97" s="4">
        <f t="shared" ref="F97" si="43">A97-D97</f>
        <v>0.66006466100233196</v>
      </c>
      <c r="G97" s="12">
        <v>100</v>
      </c>
      <c r="H97" s="13">
        <v>100000</v>
      </c>
      <c r="I97" s="13">
        <f t="shared" ref="I97" si="44">(C97-B97)/G97</f>
        <v>1.0290668499386502E-3</v>
      </c>
      <c r="J97" s="13">
        <f t="shared" ref="J97" si="45">(D97-0)/H97</f>
        <v>8.3993533899766805E-6</v>
      </c>
      <c r="K97" s="7">
        <f t="shared" ref="K97" si="46">I97/J97</f>
        <v>122.5173893941266</v>
      </c>
      <c r="L97" s="15">
        <v>143</v>
      </c>
      <c r="M97" s="18">
        <v>139000</v>
      </c>
      <c r="N97" s="13">
        <f t="shared" ref="N97" si="47">I97/0.025</f>
        <v>4.1162673997546008E-2</v>
      </c>
      <c r="O97" s="7">
        <f t="shared" ref="O97" si="48">0.025/J97</f>
        <v>2976.419593183638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"/>
  <sheetViews>
    <sheetView workbookViewId="0">
      <selection activeCell="M100" sqref="M100"/>
    </sheetView>
  </sheetViews>
  <sheetFormatPr defaultColWidth="9" defaultRowHeight="14.4" x14ac:dyDescent="0.55000000000000004"/>
  <cols>
    <col min="1" max="1" width="8.83984375" style="1" bestFit="1" customWidth="1"/>
    <col min="2" max="2" width="8.578125" style="1" bestFit="1" customWidth="1"/>
    <col min="3" max="4" width="14.05078125" style="1" bestFit="1" customWidth="1"/>
    <col min="5" max="5" width="10" style="20" bestFit="1" customWidth="1"/>
    <col min="6" max="6" width="12.26171875" style="19" bestFit="1" customWidth="1"/>
    <col min="7" max="8" width="9.05078125" style="1" bestFit="1" customWidth="1"/>
    <col min="9" max="10" width="9" style="1" bestFit="1" customWidth="1"/>
    <col min="11" max="11" width="8.26171875" style="1" bestFit="1" customWidth="1"/>
    <col min="12" max="12" width="10.578125" style="15" bestFit="1" customWidth="1"/>
    <col min="13" max="13" width="9" style="15" bestFit="1" customWidth="1"/>
    <col min="14" max="14" width="13.26171875" style="14" bestFit="1" customWidth="1"/>
    <col min="15" max="15" width="12.41796875" style="15" bestFit="1" customWidth="1"/>
    <col min="16" max="16384" width="9" style="1"/>
  </cols>
  <sheetData>
    <row r="1" spans="1:15" ht="14.7" x14ac:dyDescent="0.55000000000000004">
      <c r="A1" s="1" t="s">
        <v>17</v>
      </c>
      <c r="B1" s="1" t="s">
        <v>18</v>
      </c>
      <c r="C1" s="1" t="s">
        <v>0</v>
      </c>
      <c r="D1" s="1" t="s">
        <v>1</v>
      </c>
      <c r="E1" s="20" t="s">
        <v>19</v>
      </c>
      <c r="F1" s="19" t="s">
        <v>20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5" t="s">
        <v>10</v>
      </c>
      <c r="M1" s="15" t="s">
        <v>13</v>
      </c>
      <c r="N1" s="14" t="s">
        <v>11</v>
      </c>
      <c r="O1" s="15" t="s">
        <v>12</v>
      </c>
    </row>
    <row r="2" spans="1:15" x14ac:dyDescent="0.55000000000000004">
      <c r="A2" s="8">
        <v>5</v>
      </c>
      <c r="B2" s="8">
        <v>-5</v>
      </c>
      <c r="C2" s="47">
        <v>-4.8474400000000006</v>
      </c>
      <c r="D2" s="53">
        <v>4.3407000000000009</v>
      </c>
      <c r="E2" s="26">
        <f>A2-C2</f>
        <v>9.8474400000000006</v>
      </c>
      <c r="F2" s="2">
        <f>A2-D2</f>
        <v>0.65929999999999911</v>
      </c>
      <c r="G2" s="8">
        <v>100</v>
      </c>
      <c r="H2" s="9">
        <v>100000</v>
      </c>
      <c r="I2" s="9">
        <f>(C2-B2)/G2</f>
        <v>1.5255999999999937E-3</v>
      </c>
      <c r="J2" s="9">
        <f>(D2-0)/H2</f>
        <v>4.3407000000000006E-5</v>
      </c>
      <c r="K2" s="5">
        <f t="shared" ref="K2:K65" si="0">I2/J2</f>
        <v>35.146404957725565</v>
      </c>
      <c r="L2" s="33">
        <f>0.0012/(0.00004)</f>
        <v>29.999999999999996</v>
      </c>
      <c r="M2" s="16">
        <f>L2/I2</f>
        <v>19664.39433665451</v>
      </c>
      <c r="N2" s="9">
        <f>I2/0.025</f>
        <v>6.1023999999999745E-2</v>
      </c>
      <c r="O2" s="5">
        <f>0.025/J2</f>
        <v>575.94397217038716</v>
      </c>
    </row>
    <row r="3" spans="1:15" x14ac:dyDescent="0.55000000000000004">
      <c r="A3" s="8">
        <v>5</v>
      </c>
      <c r="B3" s="8">
        <v>-4.5</v>
      </c>
      <c r="C3" s="48">
        <v>-4.3482400000000005</v>
      </c>
      <c r="D3" s="54">
        <v>4.3411400000000002</v>
      </c>
      <c r="E3" s="26">
        <f t="shared" ref="E3:E11" si="1">A3-C3</f>
        <v>9.3482400000000005</v>
      </c>
      <c r="F3" s="2">
        <f t="shared" ref="F3:F11" si="2">A3-D3</f>
        <v>0.65885999999999978</v>
      </c>
      <c r="G3" s="8">
        <v>100</v>
      </c>
      <c r="H3" s="9">
        <v>100000</v>
      </c>
      <c r="I3" s="9">
        <f t="shared" ref="I3:I11" si="3">(C3-B3)/G3</f>
        <v>1.5175999999999946E-3</v>
      </c>
      <c r="J3" s="9">
        <f t="shared" ref="J3:J11" si="4">(D3-0)/H3</f>
        <v>4.3411400000000002E-5</v>
      </c>
      <c r="K3" s="5">
        <f t="shared" si="0"/>
        <v>34.958559272449044</v>
      </c>
      <c r="L3" s="31"/>
      <c r="M3" s="16">
        <f>L2/I3</f>
        <v>19768.054823405444</v>
      </c>
      <c r="N3" s="9">
        <f t="shared" ref="N3:N66" si="5">I3/0.025</f>
        <v>6.0703999999999779E-2</v>
      </c>
      <c r="O3" s="5">
        <f t="shared" ref="O3:O66" si="6">0.025/J3</f>
        <v>575.88559687086797</v>
      </c>
    </row>
    <row r="4" spans="1:15" x14ac:dyDescent="0.55000000000000004">
      <c r="A4" s="8">
        <v>5</v>
      </c>
      <c r="B4" s="8">
        <v>-4</v>
      </c>
      <c r="C4" s="48">
        <v>-3.8496000000000001</v>
      </c>
      <c r="D4" s="54">
        <v>4.3388399999999994</v>
      </c>
      <c r="E4" s="26">
        <f t="shared" si="1"/>
        <v>8.8496000000000006</v>
      </c>
      <c r="F4" s="2">
        <f t="shared" si="2"/>
        <v>0.66116000000000064</v>
      </c>
      <c r="G4" s="8">
        <v>100</v>
      </c>
      <c r="H4" s="9">
        <v>100000</v>
      </c>
      <c r="I4" s="9">
        <f t="shared" si="3"/>
        <v>1.5039999999999986E-3</v>
      </c>
      <c r="J4" s="9">
        <f t="shared" si="4"/>
        <v>4.3388399999999993E-5</v>
      </c>
      <c r="K4" s="5">
        <f t="shared" si="0"/>
        <v>34.663642816974097</v>
      </c>
      <c r="L4" s="31"/>
      <c r="M4" s="16">
        <f>L2/I4</f>
        <v>19946.808510638315</v>
      </c>
      <c r="N4" s="9">
        <f t="shared" si="5"/>
        <v>6.0159999999999943E-2</v>
      </c>
      <c r="O4" s="5">
        <f t="shared" si="6"/>
        <v>576.19087129278807</v>
      </c>
    </row>
    <row r="5" spans="1:15" x14ac:dyDescent="0.55000000000000004">
      <c r="A5" s="8">
        <v>5</v>
      </c>
      <c r="B5" s="8">
        <v>-3.5</v>
      </c>
      <c r="C5" s="48">
        <v>-3.3581200000000004</v>
      </c>
      <c r="D5" s="54">
        <v>4.3463799999999999</v>
      </c>
      <c r="E5" s="26">
        <f t="shared" si="1"/>
        <v>8.3581199999999995</v>
      </c>
      <c r="F5" s="2">
        <f t="shared" si="2"/>
        <v>0.65362000000000009</v>
      </c>
      <c r="G5" s="8">
        <v>100</v>
      </c>
      <c r="H5" s="9">
        <v>100000</v>
      </c>
      <c r="I5" s="9">
        <f t="shared" si="3"/>
        <v>1.4187999999999957E-3</v>
      </c>
      <c r="J5" s="9">
        <f t="shared" si="4"/>
        <v>4.3463800000000002E-5</v>
      </c>
      <c r="K5" s="5">
        <f t="shared" si="0"/>
        <v>32.643257147327098</v>
      </c>
      <c r="L5" s="31"/>
      <c r="M5" s="16">
        <f>L2/I5</f>
        <v>21144.629264166964</v>
      </c>
      <c r="N5" s="9">
        <f t="shared" si="5"/>
        <v>5.6751999999999823E-2</v>
      </c>
      <c r="O5" s="5">
        <f t="shared" si="6"/>
        <v>575.1913086292501</v>
      </c>
    </row>
    <row r="6" spans="1:15" x14ac:dyDescent="0.55000000000000004">
      <c r="A6" s="8">
        <v>5</v>
      </c>
      <c r="B6" s="8">
        <v>-3</v>
      </c>
      <c r="C6" s="48">
        <v>-2.8594200000000001</v>
      </c>
      <c r="D6" s="54">
        <v>4.3433200000000003</v>
      </c>
      <c r="E6" s="26">
        <f t="shared" si="1"/>
        <v>7.8594200000000001</v>
      </c>
      <c r="F6" s="2">
        <f t="shared" si="2"/>
        <v>0.65667999999999971</v>
      </c>
      <c r="G6" s="8">
        <v>100</v>
      </c>
      <c r="H6" s="9">
        <v>100000</v>
      </c>
      <c r="I6" s="9">
        <f t="shared" si="3"/>
        <v>1.4057999999999994E-3</v>
      </c>
      <c r="J6" s="9">
        <f t="shared" si="4"/>
        <v>4.3433200000000003E-5</v>
      </c>
      <c r="K6" s="5">
        <f t="shared" si="0"/>
        <v>32.366945101903596</v>
      </c>
      <c r="L6" s="31"/>
      <c r="M6" s="16">
        <f>L2/I6</f>
        <v>21340.162185232613</v>
      </c>
      <c r="N6" s="9">
        <f t="shared" si="5"/>
        <v>5.623199999999997E-2</v>
      </c>
      <c r="O6" s="5">
        <f t="shared" si="6"/>
        <v>575.59654826261942</v>
      </c>
    </row>
    <row r="7" spans="1:15" x14ac:dyDescent="0.55000000000000004">
      <c r="A7" s="8">
        <v>5</v>
      </c>
      <c r="B7" s="8">
        <v>-2.5</v>
      </c>
      <c r="C7" s="48">
        <v>-2.3593199999999999</v>
      </c>
      <c r="D7" s="54">
        <v>4.3422800000000006</v>
      </c>
      <c r="E7" s="26">
        <f t="shared" si="1"/>
        <v>7.3593200000000003</v>
      </c>
      <c r="F7" s="2">
        <f t="shared" si="2"/>
        <v>0.65771999999999942</v>
      </c>
      <c r="G7" s="8">
        <v>100</v>
      </c>
      <c r="H7" s="9">
        <v>100000</v>
      </c>
      <c r="I7" s="9">
        <f t="shared" si="3"/>
        <v>1.4068000000000015E-3</v>
      </c>
      <c r="J7" s="9">
        <f t="shared" si="4"/>
        <v>4.3422800000000007E-5</v>
      </c>
      <c r="K7" s="5">
        <f t="shared" si="0"/>
        <v>32.397726539974421</v>
      </c>
      <c r="L7" s="31"/>
      <c r="M7" s="16">
        <f>L2/I7</f>
        <v>21324.992891669011</v>
      </c>
      <c r="N7" s="9">
        <f t="shared" si="5"/>
        <v>5.6272000000000058E-2</v>
      </c>
      <c r="O7" s="5">
        <f t="shared" si="6"/>
        <v>575.73440680932595</v>
      </c>
    </row>
    <row r="8" spans="1:15" x14ac:dyDescent="0.55000000000000004">
      <c r="A8" s="8">
        <v>5</v>
      </c>
      <c r="B8" s="8">
        <v>-2</v>
      </c>
      <c r="C8" s="48">
        <v>-1.8561600000000003</v>
      </c>
      <c r="D8" s="54">
        <v>4.3384599999999995</v>
      </c>
      <c r="E8" s="26">
        <f t="shared" si="1"/>
        <v>6.85616</v>
      </c>
      <c r="F8" s="2">
        <f t="shared" si="2"/>
        <v>0.66154000000000046</v>
      </c>
      <c r="G8" s="8">
        <v>100</v>
      </c>
      <c r="H8" s="9">
        <v>100000</v>
      </c>
      <c r="I8" s="9">
        <f t="shared" si="3"/>
        <v>1.4383999999999974E-3</v>
      </c>
      <c r="J8" s="9">
        <f t="shared" si="4"/>
        <v>4.3384599999999998E-5</v>
      </c>
      <c r="K8" s="5">
        <f t="shared" si="0"/>
        <v>33.154621686036002</v>
      </c>
      <c r="L8" s="31"/>
      <c r="M8" s="16">
        <f>L2/I8</f>
        <v>20856.507230255873</v>
      </c>
      <c r="N8" s="9">
        <f t="shared" si="5"/>
        <v>5.7535999999999893E-2</v>
      </c>
      <c r="O8" s="5">
        <f t="shared" si="6"/>
        <v>576.24133909267346</v>
      </c>
    </row>
    <row r="9" spans="1:15" x14ac:dyDescent="0.55000000000000004">
      <c r="A9" s="8">
        <v>5</v>
      </c>
      <c r="B9" s="8">
        <v>-1.5</v>
      </c>
      <c r="C9" s="48">
        <v>-1.3606400000000001</v>
      </c>
      <c r="D9" s="54">
        <v>4.3364600000000006</v>
      </c>
      <c r="E9" s="26">
        <f t="shared" si="1"/>
        <v>6.3606400000000001</v>
      </c>
      <c r="F9" s="2">
        <f t="shared" si="2"/>
        <v>0.66353999999999935</v>
      </c>
      <c r="G9" s="8">
        <v>100</v>
      </c>
      <c r="H9" s="9">
        <v>100000</v>
      </c>
      <c r="I9" s="9">
        <f t="shared" si="3"/>
        <v>1.3935999999999992E-3</v>
      </c>
      <c r="J9" s="9">
        <f t="shared" si="4"/>
        <v>4.3364600000000008E-5</v>
      </c>
      <c r="K9" s="5">
        <f t="shared" si="0"/>
        <v>32.136812054071733</v>
      </c>
      <c r="L9" s="31"/>
      <c r="M9" s="16">
        <f>L2/I9</f>
        <v>21526.980482204373</v>
      </c>
      <c r="N9" s="9">
        <f t="shared" si="5"/>
        <v>5.5743999999999967E-2</v>
      </c>
      <c r="O9" s="5">
        <f t="shared" si="6"/>
        <v>576.50710487356037</v>
      </c>
    </row>
    <row r="10" spans="1:15" x14ac:dyDescent="0.55000000000000004">
      <c r="A10" s="8">
        <v>5</v>
      </c>
      <c r="B10" s="8">
        <v>-1</v>
      </c>
      <c r="C10" s="48">
        <v>-0.86237999999999992</v>
      </c>
      <c r="D10" s="54">
        <v>4.3369400000000002</v>
      </c>
      <c r="E10" s="26">
        <f t="shared" si="1"/>
        <v>5.8623799999999999</v>
      </c>
      <c r="F10" s="2">
        <f t="shared" si="2"/>
        <v>0.66305999999999976</v>
      </c>
      <c r="G10" s="8">
        <v>100</v>
      </c>
      <c r="H10" s="9">
        <v>100000</v>
      </c>
      <c r="I10" s="9">
        <f t="shared" si="3"/>
        <v>1.3762000000000008E-3</v>
      </c>
      <c r="J10" s="9">
        <f t="shared" si="4"/>
        <v>4.3369400000000005E-5</v>
      </c>
      <c r="K10" s="5">
        <f t="shared" si="0"/>
        <v>31.732050708564117</v>
      </c>
      <c r="L10" s="31"/>
      <c r="M10" s="16">
        <f>L2/I10</f>
        <v>21799.157099258813</v>
      </c>
      <c r="N10" s="9">
        <f t="shared" si="5"/>
        <v>5.5048000000000027E-2</v>
      </c>
      <c r="O10" s="5">
        <f t="shared" si="6"/>
        <v>576.4432987313636</v>
      </c>
    </row>
    <row r="11" spans="1:15" x14ac:dyDescent="0.55000000000000004">
      <c r="A11" s="8">
        <v>5</v>
      </c>
      <c r="B11" s="8">
        <v>-0.5</v>
      </c>
      <c r="C11" s="49">
        <v>-0.36412000000000005</v>
      </c>
      <c r="D11" s="55">
        <v>4.3359399999999999</v>
      </c>
      <c r="E11" s="26">
        <f t="shared" si="1"/>
        <v>5.3641199999999998</v>
      </c>
      <c r="F11" s="2">
        <f t="shared" si="2"/>
        <v>0.66406000000000009</v>
      </c>
      <c r="G11" s="8">
        <v>100</v>
      </c>
      <c r="H11" s="9">
        <v>100000</v>
      </c>
      <c r="I11" s="9">
        <f t="shared" si="3"/>
        <v>1.3587999999999994E-3</v>
      </c>
      <c r="J11" s="9">
        <f t="shared" si="4"/>
        <v>4.3359399999999997E-5</v>
      </c>
      <c r="K11" s="5">
        <f t="shared" si="0"/>
        <v>31.338072021291797</v>
      </c>
      <c r="L11" s="31"/>
      <c r="M11" s="16">
        <f>L2/I11</f>
        <v>22078.304386223146</v>
      </c>
      <c r="N11" s="9">
        <f t="shared" si="5"/>
        <v>5.4351999999999977E-2</v>
      </c>
      <c r="O11" s="5">
        <f t="shared" si="6"/>
        <v>576.57624413621966</v>
      </c>
    </row>
    <row r="12" spans="1:15" x14ac:dyDescent="0.55000000000000004">
      <c r="A12" s="21">
        <v>4.5</v>
      </c>
      <c r="B12" s="21">
        <v>-5</v>
      </c>
      <c r="C12" s="47">
        <v>-4.8552</v>
      </c>
      <c r="D12" s="53">
        <v>3.8446200000000004</v>
      </c>
      <c r="E12" s="27">
        <f>A12-C12</f>
        <v>9.3552</v>
      </c>
      <c r="F12" s="25">
        <f>A12-D12</f>
        <v>0.65537999999999963</v>
      </c>
      <c r="G12" s="21">
        <v>100</v>
      </c>
      <c r="H12" s="22">
        <v>100000</v>
      </c>
      <c r="I12" s="22">
        <f>(C12-B12)/G12</f>
        <v>1.4480000000000005E-3</v>
      </c>
      <c r="J12" s="22">
        <f>(D12-0)/H12</f>
        <v>3.8446200000000005E-5</v>
      </c>
      <c r="K12" s="23">
        <f t="shared" si="0"/>
        <v>37.663020012380947</v>
      </c>
      <c r="L12" s="34">
        <f>0.0011/(0.00004)</f>
        <v>27.5</v>
      </c>
      <c r="M12" s="24">
        <f>L12/I12</f>
        <v>18991.712707182312</v>
      </c>
      <c r="N12" s="22">
        <f t="shared" si="5"/>
        <v>5.792000000000002E-2</v>
      </c>
      <c r="O12" s="23">
        <f t="shared" si="6"/>
        <v>650.25932341817918</v>
      </c>
    </row>
    <row r="13" spans="1:15" x14ac:dyDescent="0.55000000000000004">
      <c r="A13" s="21">
        <v>4.5</v>
      </c>
      <c r="B13" s="21">
        <v>-4.5</v>
      </c>
      <c r="C13" s="48">
        <v>-4.3562000000000012</v>
      </c>
      <c r="D13" s="54">
        <v>3.84504</v>
      </c>
      <c r="E13" s="27">
        <f t="shared" ref="E13:E21" si="7">A13-C13</f>
        <v>8.8562000000000012</v>
      </c>
      <c r="F13" s="25">
        <f t="shared" ref="F13:F21" si="8">A13-D13</f>
        <v>0.65495999999999999</v>
      </c>
      <c r="G13" s="21">
        <v>100</v>
      </c>
      <c r="H13" s="22">
        <v>100000</v>
      </c>
      <c r="I13" s="22">
        <f t="shared" ref="I13:I21" si="9">(C13-B13)/G13</f>
        <v>1.4379999999999881E-3</v>
      </c>
      <c r="J13" s="22">
        <f t="shared" ref="J13:J21" si="10">(D13-0)/H13</f>
        <v>3.84504E-5</v>
      </c>
      <c r="K13" s="23">
        <f t="shared" si="0"/>
        <v>37.398830701370805</v>
      </c>
      <c r="L13" s="36"/>
      <c r="M13" s="24">
        <f>L12/I13</f>
        <v>19123.783031989031</v>
      </c>
      <c r="N13" s="22">
        <f t="shared" si="5"/>
        <v>5.7519999999999523E-2</v>
      </c>
      <c r="O13" s="23">
        <f t="shared" si="6"/>
        <v>650.18829453009596</v>
      </c>
    </row>
    <row r="14" spans="1:15" x14ac:dyDescent="0.55000000000000004">
      <c r="A14" s="21">
        <v>4.5</v>
      </c>
      <c r="B14" s="21">
        <v>-4</v>
      </c>
      <c r="C14" s="48">
        <v>-3.8574399999999995</v>
      </c>
      <c r="D14" s="54">
        <v>3.8413600000000003</v>
      </c>
      <c r="E14" s="27">
        <f t="shared" si="7"/>
        <v>8.3574400000000004</v>
      </c>
      <c r="F14" s="25">
        <f t="shared" si="8"/>
        <v>0.65863999999999967</v>
      </c>
      <c r="G14" s="21">
        <v>100</v>
      </c>
      <c r="H14" s="22">
        <v>100000</v>
      </c>
      <c r="I14" s="22">
        <f t="shared" si="9"/>
        <v>1.4256000000000047E-3</v>
      </c>
      <c r="J14" s="22">
        <f t="shared" si="10"/>
        <v>3.8413600000000001E-5</v>
      </c>
      <c r="K14" s="23">
        <f t="shared" si="0"/>
        <v>37.111856217589725</v>
      </c>
      <c r="L14" s="36"/>
      <c r="M14" s="24">
        <f>L12/I14</f>
        <v>19290.123456790061</v>
      </c>
      <c r="N14" s="22">
        <f t="shared" si="5"/>
        <v>5.7024000000000186E-2</v>
      </c>
      <c r="O14" s="23">
        <f t="shared" si="6"/>
        <v>650.81117104358873</v>
      </c>
    </row>
    <row r="15" spans="1:15" x14ac:dyDescent="0.55000000000000004">
      <c r="A15" s="21">
        <v>4.5</v>
      </c>
      <c r="B15" s="21">
        <v>-3.5</v>
      </c>
      <c r="C15" s="48">
        <v>-3.3652799999999998</v>
      </c>
      <c r="D15" s="54">
        <v>3.84842</v>
      </c>
      <c r="E15" s="27">
        <f t="shared" si="7"/>
        <v>7.8652800000000003</v>
      </c>
      <c r="F15" s="25">
        <f t="shared" si="8"/>
        <v>0.65158000000000005</v>
      </c>
      <c r="G15" s="21">
        <v>100</v>
      </c>
      <c r="H15" s="22">
        <v>100000</v>
      </c>
      <c r="I15" s="22">
        <f t="shared" si="9"/>
        <v>1.3472000000000017E-3</v>
      </c>
      <c r="J15" s="22">
        <f t="shared" si="10"/>
        <v>3.84842E-5</v>
      </c>
      <c r="K15" s="23">
        <f t="shared" si="0"/>
        <v>35.006574126524697</v>
      </c>
      <c r="L15" s="36"/>
      <c r="M15" s="24">
        <f>L12/I15</f>
        <v>20412.707838479782</v>
      </c>
      <c r="N15" s="22">
        <f t="shared" si="5"/>
        <v>5.3888000000000068E-2</v>
      </c>
      <c r="O15" s="23">
        <f t="shared" si="6"/>
        <v>649.61724551894031</v>
      </c>
    </row>
    <row r="16" spans="1:15" x14ac:dyDescent="0.55000000000000004">
      <c r="A16" s="21">
        <v>4.5</v>
      </c>
      <c r="B16" s="21">
        <v>-3</v>
      </c>
      <c r="C16" s="48">
        <v>-2.8668199999999997</v>
      </c>
      <c r="D16" s="54">
        <v>3.8454600000000001</v>
      </c>
      <c r="E16" s="27">
        <f t="shared" si="7"/>
        <v>7.3668199999999997</v>
      </c>
      <c r="F16" s="25">
        <f t="shared" si="8"/>
        <v>0.6545399999999999</v>
      </c>
      <c r="G16" s="21">
        <v>100</v>
      </c>
      <c r="H16" s="22">
        <v>100000</v>
      </c>
      <c r="I16" s="22">
        <f t="shared" si="9"/>
        <v>1.331800000000003E-3</v>
      </c>
      <c r="J16" s="22">
        <f t="shared" si="10"/>
        <v>3.8454600000000003E-5</v>
      </c>
      <c r="K16" s="23">
        <f t="shared" si="0"/>
        <v>34.633047801823523</v>
      </c>
      <c r="L16" s="36"/>
      <c r="M16" s="24">
        <f>L12/I16</f>
        <v>20648.746057966615</v>
      </c>
      <c r="N16" s="22">
        <f t="shared" si="5"/>
        <v>5.3272000000000118E-2</v>
      </c>
      <c r="O16" s="23">
        <f t="shared" si="6"/>
        <v>650.11728115752078</v>
      </c>
    </row>
    <row r="17" spans="1:15" x14ac:dyDescent="0.55000000000000004">
      <c r="A17" s="21">
        <v>4.5</v>
      </c>
      <c r="B17" s="21">
        <v>-2.5</v>
      </c>
      <c r="C17" s="48">
        <v>-2.3681999999999999</v>
      </c>
      <c r="D17" s="54">
        <v>3.8467800000000003</v>
      </c>
      <c r="E17" s="27">
        <f t="shared" si="7"/>
        <v>6.8681999999999999</v>
      </c>
      <c r="F17" s="25">
        <f t="shared" si="8"/>
        <v>0.65321999999999969</v>
      </c>
      <c r="G17" s="21">
        <v>100</v>
      </c>
      <c r="H17" s="22">
        <v>100000</v>
      </c>
      <c r="I17" s="22">
        <f t="shared" si="9"/>
        <v>1.3180000000000015E-3</v>
      </c>
      <c r="J17" s="22">
        <f t="shared" si="10"/>
        <v>3.8467800000000005E-5</v>
      </c>
      <c r="K17" s="23">
        <f t="shared" si="0"/>
        <v>34.262422077685784</v>
      </c>
      <c r="L17" s="36"/>
      <c r="M17" s="24">
        <f>L12/I17</f>
        <v>20864.946889226077</v>
      </c>
      <c r="N17" s="22">
        <f t="shared" si="5"/>
        <v>5.2720000000000058E-2</v>
      </c>
      <c r="O17" s="23">
        <f t="shared" si="6"/>
        <v>649.89419722469177</v>
      </c>
    </row>
    <row r="18" spans="1:15" x14ac:dyDescent="0.55000000000000004">
      <c r="A18" s="21">
        <v>4.5</v>
      </c>
      <c r="B18" s="21">
        <v>-2</v>
      </c>
      <c r="C18" s="48">
        <v>-1.8648000000000002</v>
      </c>
      <c r="D18" s="54">
        <v>3.8411200000000001</v>
      </c>
      <c r="E18" s="27">
        <f t="shared" si="7"/>
        <v>6.3648000000000007</v>
      </c>
      <c r="F18" s="25">
        <f t="shared" si="8"/>
        <v>0.65887999999999991</v>
      </c>
      <c r="G18" s="21">
        <v>100</v>
      </c>
      <c r="H18" s="22">
        <v>100000</v>
      </c>
      <c r="I18" s="22">
        <f t="shared" si="9"/>
        <v>1.3519999999999977E-3</v>
      </c>
      <c r="J18" s="22">
        <f t="shared" si="10"/>
        <v>3.8411200000000002E-5</v>
      </c>
      <c r="K18" s="23">
        <f t="shared" si="0"/>
        <v>35.198067230391075</v>
      </c>
      <c r="L18" s="36"/>
      <c r="M18" s="24">
        <f>L12/I18</f>
        <v>20340.236686390566</v>
      </c>
      <c r="N18" s="22">
        <f t="shared" si="5"/>
        <v>5.4079999999999906E-2</v>
      </c>
      <c r="O18" s="23">
        <f t="shared" si="6"/>
        <v>650.85183488149289</v>
      </c>
    </row>
    <row r="19" spans="1:15" x14ac:dyDescent="0.55000000000000004">
      <c r="A19" s="21">
        <v>4.5</v>
      </c>
      <c r="B19" s="21">
        <v>-1.5</v>
      </c>
      <c r="C19" s="48">
        <v>-1.36856</v>
      </c>
      <c r="D19" s="54">
        <v>3.8381999999999996</v>
      </c>
      <c r="E19" s="27">
        <f t="shared" si="7"/>
        <v>5.8685600000000004</v>
      </c>
      <c r="F19" s="25">
        <f t="shared" si="8"/>
        <v>0.66180000000000039</v>
      </c>
      <c r="G19" s="21">
        <v>100</v>
      </c>
      <c r="H19" s="22">
        <v>100000</v>
      </c>
      <c r="I19" s="22">
        <f t="shared" si="9"/>
        <v>1.3144000000000001E-3</v>
      </c>
      <c r="J19" s="22">
        <f t="shared" si="10"/>
        <v>3.8381999999999999E-5</v>
      </c>
      <c r="K19" s="23">
        <f t="shared" si="0"/>
        <v>34.245219113125948</v>
      </c>
      <c r="L19" s="36"/>
      <c r="M19" s="24">
        <f>L12/I19</f>
        <v>20922.093730979912</v>
      </c>
      <c r="N19" s="22">
        <f t="shared" si="5"/>
        <v>5.2575999999999998E-2</v>
      </c>
      <c r="O19" s="23">
        <f t="shared" si="6"/>
        <v>651.34698556615081</v>
      </c>
    </row>
    <row r="20" spans="1:15" x14ac:dyDescent="0.55000000000000004">
      <c r="A20" s="21">
        <v>4.5</v>
      </c>
      <c r="B20" s="21">
        <v>-1</v>
      </c>
      <c r="C20" s="48">
        <v>-0.87080000000000002</v>
      </c>
      <c r="D20" s="54">
        <v>3.8384399999999999</v>
      </c>
      <c r="E20" s="27">
        <f t="shared" si="7"/>
        <v>5.3708</v>
      </c>
      <c r="F20" s="25">
        <f t="shared" si="8"/>
        <v>0.66156000000000015</v>
      </c>
      <c r="G20" s="21">
        <v>100</v>
      </c>
      <c r="H20" s="22">
        <v>100000</v>
      </c>
      <c r="I20" s="22">
        <f t="shared" si="9"/>
        <v>1.2919999999999997E-3</v>
      </c>
      <c r="J20" s="22">
        <f t="shared" si="10"/>
        <v>3.8384399999999998E-5</v>
      </c>
      <c r="K20" s="23">
        <f t="shared" si="0"/>
        <v>33.659507508258557</v>
      </c>
      <c r="L20" s="36"/>
      <c r="M20" s="24">
        <f>L12/I20</f>
        <v>21284.829721362232</v>
      </c>
      <c r="N20" s="22">
        <f t="shared" si="5"/>
        <v>5.167999999999999E-2</v>
      </c>
      <c r="O20" s="23">
        <f t="shared" si="6"/>
        <v>651.30625983472464</v>
      </c>
    </row>
    <row r="21" spans="1:15" x14ac:dyDescent="0.55000000000000004">
      <c r="A21" s="21">
        <v>4.5</v>
      </c>
      <c r="B21" s="21">
        <v>-0.5</v>
      </c>
      <c r="C21" s="49">
        <v>-0.37340000000000001</v>
      </c>
      <c r="D21" s="55">
        <v>3.8371000000000004</v>
      </c>
      <c r="E21" s="27">
        <f t="shared" si="7"/>
        <v>4.8734000000000002</v>
      </c>
      <c r="F21" s="25">
        <f t="shared" si="8"/>
        <v>0.6628999999999996</v>
      </c>
      <c r="G21" s="21">
        <v>100</v>
      </c>
      <c r="H21" s="22">
        <v>100000</v>
      </c>
      <c r="I21" s="22">
        <f t="shared" si="9"/>
        <v>1.266E-3</v>
      </c>
      <c r="J21" s="22">
        <f t="shared" si="10"/>
        <v>3.8371000000000002E-5</v>
      </c>
      <c r="K21" s="23">
        <f t="shared" si="0"/>
        <v>32.993667092335357</v>
      </c>
      <c r="L21" s="36"/>
      <c r="M21" s="24">
        <f>L12/I21</f>
        <v>21721.958925750394</v>
      </c>
      <c r="N21" s="22">
        <f t="shared" si="5"/>
        <v>5.0639999999999998E-2</v>
      </c>
      <c r="O21" s="23">
        <f t="shared" si="6"/>
        <v>651.53371035417376</v>
      </c>
    </row>
    <row r="22" spans="1:15" x14ac:dyDescent="0.55000000000000004">
      <c r="A22" s="10">
        <v>4</v>
      </c>
      <c r="B22" s="10">
        <v>-5</v>
      </c>
      <c r="C22" s="47">
        <v>-4.8727200000000002</v>
      </c>
      <c r="D22" s="53">
        <v>3.3517600000000001</v>
      </c>
      <c r="E22" s="28">
        <f>A22-C22</f>
        <v>8.8727200000000011</v>
      </c>
      <c r="F22" s="3">
        <f>A22-D22</f>
        <v>0.64823999999999993</v>
      </c>
      <c r="G22" s="10">
        <v>100</v>
      </c>
      <c r="H22" s="11">
        <v>100000</v>
      </c>
      <c r="I22" s="11">
        <f>(C22-B22)/G22</f>
        <v>1.2727999999999984E-3</v>
      </c>
      <c r="J22" s="11">
        <f>(D22-0)/H22</f>
        <v>3.3517599999999999E-5</v>
      </c>
      <c r="K22" s="6">
        <f t="shared" si="0"/>
        <v>37.974079289686564</v>
      </c>
      <c r="L22" s="30">
        <f>0.0009/(0.00004)</f>
        <v>22.499999999999996</v>
      </c>
      <c r="M22" s="17">
        <f>L22/I22</f>
        <v>17677.561282212464</v>
      </c>
      <c r="N22" s="11">
        <f t="shared" si="5"/>
        <v>5.0911999999999936E-2</v>
      </c>
      <c r="O22" s="6">
        <f t="shared" si="6"/>
        <v>745.8767930878106</v>
      </c>
    </row>
    <row r="23" spans="1:15" x14ac:dyDescent="0.55000000000000004">
      <c r="A23" s="10">
        <v>4</v>
      </c>
      <c r="B23" s="10">
        <v>-4.5</v>
      </c>
      <c r="C23" s="48">
        <v>-4.3748000000000005</v>
      </c>
      <c r="D23" s="54">
        <v>3.35304</v>
      </c>
      <c r="E23" s="28">
        <f t="shared" ref="E23:E31" si="11">A23-C23</f>
        <v>8.3748000000000005</v>
      </c>
      <c r="F23" s="3">
        <f t="shared" ref="F23:F31" si="12">A23-D23</f>
        <v>0.64695999999999998</v>
      </c>
      <c r="G23" s="10">
        <v>100</v>
      </c>
      <c r="H23" s="11">
        <v>100000</v>
      </c>
      <c r="I23" s="11">
        <f t="shared" ref="I23:I31" si="13">(C23-B23)/G23</f>
        <v>1.2519999999999953E-3</v>
      </c>
      <c r="J23" s="11">
        <f t="shared" ref="J23:J31" si="14">(D23-0)/H23</f>
        <v>3.35304E-5</v>
      </c>
      <c r="K23" s="6">
        <f t="shared" si="0"/>
        <v>37.339250351919311</v>
      </c>
      <c r="L23" s="35"/>
      <c r="M23" s="17">
        <f>L22/I23</f>
        <v>17971.24600638984</v>
      </c>
      <c r="N23" s="11">
        <f t="shared" si="5"/>
        <v>5.0079999999999812E-2</v>
      </c>
      <c r="O23" s="6">
        <f t="shared" si="6"/>
        <v>745.59205974280064</v>
      </c>
    </row>
    <row r="24" spans="1:15" x14ac:dyDescent="0.55000000000000004">
      <c r="A24" s="10">
        <v>4</v>
      </c>
      <c r="B24" s="10">
        <v>-4</v>
      </c>
      <c r="C24" s="48">
        <v>-3.87554</v>
      </c>
      <c r="D24" s="54">
        <v>3.3497999999999997</v>
      </c>
      <c r="E24" s="28">
        <f t="shared" si="11"/>
        <v>7.87554</v>
      </c>
      <c r="F24" s="3">
        <f t="shared" si="12"/>
        <v>0.65020000000000033</v>
      </c>
      <c r="G24" s="10">
        <v>100</v>
      </c>
      <c r="H24" s="11">
        <v>100000</v>
      </c>
      <c r="I24" s="11">
        <f t="shared" si="13"/>
        <v>1.2446000000000002E-3</v>
      </c>
      <c r="J24" s="11">
        <f t="shared" si="14"/>
        <v>3.3497999999999997E-5</v>
      </c>
      <c r="K24" s="6">
        <f t="shared" si="0"/>
        <v>37.154456982506431</v>
      </c>
      <c r="L24" s="35"/>
      <c r="M24" s="17">
        <f>L22/I24</f>
        <v>18078.09738068455</v>
      </c>
      <c r="N24" s="11">
        <f t="shared" si="5"/>
        <v>4.9784000000000009E-2</v>
      </c>
      <c r="O24" s="6">
        <f t="shared" si="6"/>
        <v>746.31321272911828</v>
      </c>
    </row>
    <row r="25" spans="1:15" x14ac:dyDescent="0.55000000000000004">
      <c r="A25" s="10">
        <v>4</v>
      </c>
      <c r="B25" s="10">
        <v>-3.5</v>
      </c>
      <c r="C25" s="48">
        <v>-3.3822800000000002</v>
      </c>
      <c r="D25" s="54">
        <v>3.3559600000000005</v>
      </c>
      <c r="E25" s="28">
        <f t="shared" si="11"/>
        <v>7.3822799999999997</v>
      </c>
      <c r="F25" s="3">
        <f t="shared" si="12"/>
        <v>0.6440399999999995</v>
      </c>
      <c r="G25" s="10">
        <v>100</v>
      </c>
      <c r="H25" s="11">
        <v>100000</v>
      </c>
      <c r="I25" s="11">
        <f t="shared" si="13"/>
        <v>1.1771999999999983E-3</v>
      </c>
      <c r="J25" s="11">
        <f t="shared" si="14"/>
        <v>3.3559600000000003E-5</v>
      </c>
      <c r="K25" s="6">
        <f t="shared" si="0"/>
        <v>35.077891274031813</v>
      </c>
      <c r="L25" s="35"/>
      <c r="M25" s="17">
        <f>L22/I25</f>
        <v>19113.149847094828</v>
      </c>
      <c r="N25" s="11">
        <f t="shared" si="5"/>
        <v>4.7087999999999929E-2</v>
      </c>
      <c r="O25" s="6">
        <f t="shared" si="6"/>
        <v>744.94332471185589</v>
      </c>
    </row>
    <row r="26" spans="1:15" x14ac:dyDescent="0.55000000000000004">
      <c r="A26" s="10">
        <v>4</v>
      </c>
      <c r="B26" s="10">
        <v>-3</v>
      </c>
      <c r="C26" s="48">
        <v>-2.8844200000000004</v>
      </c>
      <c r="D26" s="54">
        <v>3.3542200000000002</v>
      </c>
      <c r="E26" s="28">
        <f t="shared" si="11"/>
        <v>6.8844200000000004</v>
      </c>
      <c r="F26" s="3">
        <f t="shared" si="12"/>
        <v>0.6457799999999998</v>
      </c>
      <c r="G26" s="10">
        <v>100</v>
      </c>
      <c r="H26" s="11">
        <v>100000</v>
      </c>
      <c r="I26" s="11">
        <f t="shared" si="13"/>
        <v>1.1557999999999957E-3</v>
      </c>
      <c r="J26" s="11">
        <f t="shared" si="14"/>
        <v>3.3542199999999999E-5</v>
      </c>
      <c r="K26" s="6">
        <f t="shared" si="0"/>
        <v>34.458085635408402</v>
      </c>
      <c r="L26" s="35"/>
      <c r="M26" s="17">
        <f>L22/I26</f>
        <v>19467.035819345976</v>
      </c>
      <c r="N26" s="11">
        <f t="shared" si="5"/>
        <v>4.6231999999999822E-2</v>
      </c>
      <c r="O26" s="6">
        <f t="shared" si="6"/>
        <v>745.32976370065182</v>
      </c>
    </row>
    <row r="27" spans="1:15" x14ac:dyDescent="0.55000000000000004">
      <c r="A27" s="10">
        <v>4</v>
      </c>
      <c r="B27" s="10">
        <v>-2.5</v>
      </c>
      <c r="C27" s="48">
        <v>-2.3858800000000002</v>
      </c>
      <c r="D27" s="54">
        <v>3.3551600000000001</v>
      </c>
      <c r="E27" s="28">
        <f t="shared" si="11"/>
        <v>6.3858800000000002</v>
      </c>
      <c r="F27" s="3">
        <f t="shared" si="12"/>
        <v>0.64483999999999986</v>
      </c>
      <c r="G27" s="10">
        <v>100</v>
      </c>
      <c r="H27" s="11">
        <v>100000</v>
      </c>
      <c r="I27" s="11">
        <f t="shared" si="13"/>
        <v>1.1411999999999978E-3</v>
      </c>
      <c r="J27" s="11">
        <f t="shared" si="14"/>
        <v>3.3551599999999999E-5</v>
      </c>
      <c r="K27" s="6">
        <f t="shared" si="0"/>
        <v>34.013281035777666</v>
      </c>
      <c r="L27" s="35"/>
      <c r="M27" s="17">
        <f>L22/I27</f>
        <v>19716.088328075744</v>
      </c>
      <c r="N27" s="11">
        <f t="shared" si="5"/>
        <v>4.5647999999999911E-2</v>
      </c>
      <c r="O27" s="6">
        <f t="shared" si="6"/>
        <v>745.12094803228467</v>
      </c>
    </row>
    <row r="28" spans="1:15" x14ac:dyDescent="0.55000000000000004">
      <c r="A28" s="10">
        <v>4</v>
      </c>
      <c r="B28" s="10">
        <v>-2</v>
      </c>
      <c r="C28" s="48">
        <v>-1.8838800000000002</v>
      </c>
      <c r="D28" s="54">
        <v>3.3521200000000007</v>
      </c>
      <c r="E28" s="28">
        <f t="shared" si="11"/>
        <v>5.8838800000000004</v>
      </c>
      <c r="F28" s="3">
        <f t="shared" si="12"/>
        <v>0.64787999999999935</v>
      </c>
      <c r="G28" s="10">
        <v>100</v>
      </c>
      <c r="H28" s="11">
        <v>100000</v>
      </c>
      <c r="I28" s="11">
        <f t="shared" si="13"/>
        <v>1.1611999999999979E-3</v>
      </c>
      <c r="J28" s="11">
        <f t="shared" si="14"/>
        <v>3.3521200000000007E-5</v>
      </c>
      <c r="K28" s="6">
        <f t="shared" si="0"/>
        <v>34.640764650430107</v>
      </c>
      <c r="L28" s="35"/>
      <c r="M28" s="17">
        <f>L22/I28</f>
        <v>19376.507061660384</v>
      </c>
      <c r="N28" s="11">
        <f t="shared" si="5"/>
        <v>4.6447999999999913E-2</v>
      </c>
      <c r="O28" s="6">
        <f t="shared" si="6"/>
        <v>745.79668985597164</v>
      </c>
    </row>
    <row r="29" spans="1:15" x14ac:dyDescent="0.55000000000000004">
      <c r="A29" s="10">
        <v>4</v>
      </c>
      <c r="B29" s="10">
        <v>-1.5</v>
      </c>
      <c r="C29" s="48">
        <v>-1.3845800000000001</v>
      </c>
      <c r="D29" s="54">
        <v>3.34728</v>
      </c>
      <c r="E29" s="28">
        <f t="shared" si="11"/>
        <v>5.3845799999999997</v>
      </c>
      <c r="F29" s="3">
        <f t="shared" si="12"/>
        <v>0.65271999999999997</v>
      </c>
      <c r="G29" s="10">
        <v>100</v>
      </c>
      <c r="H29" s="11">
        <v>100000</v>
      </c>
      <c r="I29" s="11">
        <f t="shared" si="13"/>
        <v>1.1541999999999985E-3</v>
      </c>
      <c r="J29" s="11">
        <f t="shared" si="14"/>
        <v>3.3472800000000002E-5</v>
      </c>
      <c r="K29" s="6">
        <f t="shared" si="0"/>
        <v>34.481728448172795</v>
      </c>
      <c r="L29" s="35"/>
      <c r="M29" s="17">
        <f>L22/I29</f>
        <v>19494.021833304476</v>
      </c>
      <c r="N29" s="11">
        <f t="shared" si="5"/>
        <v>4.6167999999999938E-2</v>
      </c>
      <c r="O29" s="6">
        <f t="shared" si="6"/>
        <v>746.87507468750744</v>
      </c>
    </row>
    <row r="30" spans="1:15" x14ac:dyDescent="0.55000000000000004">
      <c r="A30" s="10">
        <v>4</v>
      </c>
      <c r="B30" s="10">
        <v>-1</v>
      </c>
      <c r="C30" s="48">
        <v>-0.88871999999999995</v>
      </c>
      <c r="D30" s="54">
        <v>3.3484400000000001</v>
      </c>
      <c r="E30" s="28">
        <f t="shared" si="11"/>
        <v>4.8887200000000002</v>
      </c>
      <c r="F30" s="3">
        <f t="shared" si="12"/>
        <v>0.65155999999999992</v>
      </c>
      <c r="G30" s="10">
        <v>100</v>
      </c>
      <c r="H30" s="11">
        <v>100000</v>
      </c>
      <c r="I30" s="11">
        <f t="shared" si="13"/>
        <v>1.1128000000000004E-3</v>
      </c>
      <c r="J30" s="11">
        <f t="shared" si="14"/>
        <v>3.3484400000000001E-5</v>
      </c>
      <c r="K30" s="6">
        <f t="shared" si="0"/>
        <v>33.233386293318688</v>
      </c>
      <c r="L30" s="35"/>
      <c r="M30" s="17">
        <f>L22/I30</f>
        <v>20219.266714593807</v>
      </c>
      <c r="N30" s="11">
        <f t="shared" si="5"/>
        <v>4.451200000000001E-2</v>
      </c>
      <c r="O30" s="6">
        <f t="shared" si="6"/>
        <v>746.61633477081864</v>
      </c>
    </row>
    <row r="31" spans="1:15" x14ac:dyDescent="0.55000000000000004">
      <c r="A31" s="10">
        <v>4</v>
      </c>
      <c r="B31" s="10">
        <v>-0.5</v>
      </c>
      <c r="C31" s="49">
        <v>-0.38940000000000002</v>
      </c>
      <c r="D31" s="55">
        <v>3.3461599999999998</v>
      </c>
      <c r="E31" s="28">
        <f t="shared" si="11"/>
        <v>4.3894000000000002</v>
      </c>
      <c r="F31" s="3">
        <f t="shared" si="12"/>
        <v>0.6538400000000002</v>
      </c>
      <c r="G31" s="10">
        <v>100</v>
      </c>
      <c r="H31" s="11">
        <v>100000</v>
      </c>
      <c r="I31" s="11">
        <f t="shared" si="13"/>
        <v>1.1059999999999998E-3</v>
      </c>
      <c r="J31" s="11">
        <f t="shared" si="14"/>
        <v>3.3461599999999998E-5</v>
      </c>
      <c r="K31" s="6">
        <f t="shared" si="0"/>
        <v>33.052812776436269</v>
      </c>
      <c r="L31" s="35"/>
      <c r="M31" s="17">
        <f>L22/I31</f>
        <v>20343.580470162749</v>
      </c>
      <c r="N31" s="11">
        <f t="shared" si="5"/>
        <v>4.4239999999999988E-2</v>
      </c>
      <c r="O31" s="6">
        <f t="shared" si="6"/>
        <v>747.12506275850535</v>
      </c>
    </row>
    <row r="32" spans="1:15" x14ac:dyDescent="0.55000000000000004">
      <c r="A32" s="12">
        <v>3.5</v>
      </c>
      <c r="B32" s="12">
        <v>-5</v>
      </c>
      <c r="C32" s="47">
        <v>-4.8794599999999999</v>
      </c>
      <c r="D32" s="53">
        <v>2.8558000000000003</v>
      </c>
      <c r="E32" s="29">
        <f>A32-C32</f>
        <v>8.3794599999999999</v>
      </c>
      <c r="F32" s="4">
        <f>A32-D32</f>
        <v>0.64419999999999966</v>
      </c>
      <c r="G32" s="12">
        <v>100</v>
      </c>
      <c r="H32" s="13">
        <v>100000</v>
      </c>
      <c r="I32" s="13">
        <f>(C32-B32)/G32</f>
        <v>1.205400000000001E-3</v>
      </c>
      <c r="J32" s="13">
        <f>(D32-0)/H32</f>
        <v>2.8558000000000003E-5</v>
      </c>
      <c r="K32" s="7">
        <f t="shared" si="0"/>
        <v>42.208838153932376</v>
      </c>
      <c r="L32" s="32">
        <f>0.0009/(0.00003)</f>
        <v>30</v>
      </c>
      <c r="M32" s="18">
        <f>L32/I32</f>
        <v>24888.003982080616</v>
      </c>
      <c r="N32" s="13">
        <f t="shared" si="5"/>
        <v>4.8216000000000037E-2</v>
      </c>
      <c r="O32" s="7">
        <f t="shared" si="6"/>
        <v>875.41144337838773</v>
      </c>
    </row>
    <row r="33" spans="1:15" x14ac:dyDescent="0.55000000000000004">
      <c r="A33" s="12">
        <v>3.5</v>
      </c>
      <c r="B33" s="12">
        <v>-4.5</v>
      </c>
      <c r="C33" s="48">
        <v>-4.3812799999999994</v>
      </c>
      <c r="D33" s="54">
        <v>2.8568600000000002</v>
      </c>
      <c r="E33" s="29">
        <f t="shared" ref="E33:E41" si="15">A33-C33</f>
        <v>7.8812799999999994</v>
      </c>
      <c r="F33" s="4">
        <f t="shared" ref="F33:F41" si="16">A33-D33</f>
        <v>0.64313999999999982</v>
      </c>
      <c r="G33" s="12">
        <v>100</v>
      </c>
      <c r="H33" s="13">
        <v>100000</v>
      </c>
      <c r="I33" s="13">
        <f t="shared" ref="I33:I41" si="17">(C33-B33)/G33</f>
        <v>1.1872000000000061E-3</v>
      </c>
      <c r="J33" s="13">
        <f t="shared" ref="J33:J41" si="18">(D33-0)/H33</f>
        <v>2.8568600000000003E-5</v>
      </c>
      <c r="K33" s="7">
        <f t="shared" si="0"/>
        <v>41.55611405529168</v>
      </c>
      <c r="L33" s="37"/>
      <c r="M33" s="18">
        <f>L32/I33</f>
        <v>25269.54177897561</v>
      </c>
      <c r="N33" s="13">
        <f t="shared" si="5"/>
        <v>4.7488000000000238E-2</v>
      </c>
      <c r="O33" s="7">
        <f t="shared" si="6"/>
        <v>875.08663357672401</v>
      </c>
    </row>
    <row r="34" spans="1:15" x14ac:dyDescent="0.55000000000000004">
      <c r="A34" s="12">
        <v>3.5</v>
      </c>
      <c r="B34" s="12">
        <v>-4</v>
      </c>
      <c r="C34" s="48">
        <v>-3.8831600000000002</v>
      </c>
      <c r="D34" s="54">
        <v>2.85486</v>
      </c>
      <c r="E34" s="29">
        <f t="shared" si="15"/>
        <v>7.3831600000000002</v>
      </c>
      <c r="F34" s="4">
        <f t="shared" si="16"/>
        <v>0.64514000000000005</v>
      </c>
      <c r="G34" s="12">
        <v>100</v>
      </c>
      <c r="H34" s="13">
        <v>100000</v>
      </c>
      <c r="I34" s="13">
        <f t="shared" si="17"/>
        <v>1.1683999999999983E-3</v>
      </c>
      <c r="J34" s="13">
        <f t="shared" si="18"/>
        <v>2.85486E-5</v>
      </c>
      <c r="K34" s="7">
        <f t="shared" si="0"/>
        <v>40.926700433646424</v>
      </c>
      <c r="L34" s="37"/>
      <c r="M34" s="18">
        <f>L32/I34</f>
        <v>25676.138308798396</v>
      </c>
      <c r="N34" s="13">
        <f t="shared" si="5"/>
        <v>4.673599999999993E-2</v>
      </c>
      <c r="O34" s="7">
        <f t="shared" si="6"/>
        <v>875.699684047554</v>
      </c>
    </row>
    <row r="35" spans="1:15" x14ac:dyDescent="0.55000000000000004">
      <c r="A35" s="12">
        <v>3.5</v>
      </c>
      <c r="B35" s="12">
        <v>-3.5</v>
      </c>
      <c r="C35" s="48">
        <v>-3.3893</v>
      </c>
      <c r="D35" s="54">
        <v>2.8599400000000004</v>
      </c>
      <c r="E35" s="29">
        <f t="shared" si="15"/>
        <v>6.8893000000000004</v>
      </c>
      <c r="F35" s="4">
        <f t="shared" si="16"/>
        <v>0.64005999999999963</v>
      </c>
      <c r="G35" s="12">
        <v>100</v>
      </c>
      <c r="H35" s="13">
        <v>100000</v>
      </c>
      <c r="I35" s="13">
        <f t="shared" si="17"/>
        <v>1.1070000000000001E-3</v>
      </c>
      <c r="J35" s="13">
        <f t="shared" si="18"/>
        <v>2.8599400000000003E-5</v>
      </c>
      <c r="K35" s="7">
        <f t="shared" si="0"/>
        <v>38.707105743477136</v>
      </c>
      <c r="L35" s="37"/>
      <c r="M35" s="18">
        <f>L32/I35</f>
        <v>27100.271002710026</v>
      </c>
      <c r="N35" s="13">
        <f t="shared" si="5"/>
        <v>4.428E-2</v>
      </c>
      <c r="O35" s="7">
        <f t="shared" si="6"/>
        <v>874.14421281565342</v>
      </c>
    </row>
    <row r="36" spans="1:15" x14ac:dyDescent="0.55000000000000004">
      <c r="A36" s="12">
        <v>3.5</v>
      </c>
      <c r="B36" s="12">
        <v>-3</v>
      </c>
      <c r="C36" s="48">
        <v>-2.8919200000000003</v>
      </c>
      <c r="D36" s="54">
        <v>2.8585000000000003</v>
      </c>
      <c r="E36" s="29">
        <f t="shared" si="15"/>
        <v>6.3919200000000007</v>
      </c>
      <c r="F36" s="4">
        <f t="shared" si="16"/>
        <v>0.64149999999999974</v>
      </c>
      <c r="G36" s="12">
        <v>100</v>
      </c>
      <c r="H36" s="13">
        <v>100000</v>
      </c>
      <c r="I36" s="13">
        <f t="shared" si="17"/>
        <v>1.0807999999999972E-3</v>
      </c>
      <c r="J36" s="13">
        <f t="shared" si="18"/>
        <v>2.8585000000000002E-5</v>
      </c>
      <c r="K36" s="7">
        <f t="shared" si="0"/>
        <v>37.81004023089023</v>
      </c>
      <c r="L36" s="37"/>
      <c r="M36" s="18">
        <f>L32/I36</f>
        <v>27757.216876387931</v>
      </c>
      <c r="N36" s="13">
        <f t="shared" si="5"/>
        <v>4.3231999999999889E-2</v>
      </c>
      <c r="O36" s="7">
        <f t="shared" si="6"/>
        <v>874.58457232814408</v>
      </c>
    </row>
    <row r="37" spans="1:15" x14ac:dyDescent="0.55000000000000004">
      <c r="A37" s="12">
        <v>3.5</v>
      </c>
      <c r="B37" s="12">
        <v>-2.5</v>
      </c>
      <c r="C37" s="48">
        <v>-2.3925999999999998</v>
      </c>
      <c r="D37" s="54">
        <v>2.8592200000000005</v>
      </c>
      <c r="E37" s="29">
        <f t="shared" si="15"/>
        <v>5.8925999999999998</v>
      </c>
      <c r="F37" s="4">
        <f t="shared" si="16"/>
        <v>0.64077999999999946</v>
      </c>
      <c r="G37" s="12">
        <v>100</v>
      </c>
      <c r="H37" s="13">
        <v>100000</v>
      </c>
      <c r="I37" s="13">
        <f t="shared" si="17"/>
        <v>1.0740000000000016E-3</v>
      </c>
      <c r="J37" s="13">
        <f t="shared" si="18"/>
        <v>2.8592200000000004E-5</v>
      </c>
      <c r="K37" s="7">
        <f t="shared" si="0"/>
        <v>37.56269192297205</v>
      </c>
      <c r="L37" s="37"/>
      <c r="M37" s="18">
        <f>L32/I37</f>
        <v>27932.960893854706</v>
      </c>
      <c r="N37" s="13">
        <f t="shared" si="5"/>
        <v>4.2960000000000061E-2</v>
      </c>
      <c r="O37" s="7">
        <f t="shared" si="6"/>
        <v>874.36433712690871</v>
      </c>
    </row>
    <row r="38" spans="1:15" x14ac:dyDescent="0.55000000000000004">
      <c r="A38" s="12">
        <v>3.5</v>
      </c>
      <c r="B38" s="12">
        <v>-2</v>
      </c>
      <c r="C38" s="48">
        <v>-1.89202</v>
      </c>
      <c r="D38" s="54">
        <v>2.85724</v>
      </c>
      <c r="E38" s="29">
        <f t="shared" si="15"/>
        <v>5.3920200000000005</v>
      </c>
      <c r="F38" s="4">
        <f t="shared" si="16"/>
        <v>0.64276</v>
      </c>
      <c r="G38" s="12">
        <v>100</v>
      </c>
      <c r="H38" s="13">
        <v>100000</v>
      </c>
      <c r="I38" s="13">
        <f t="shared" si="17"/>
        <v>1.0797999999999997E-3</v>
      </c>
      <c r="J38" s="13">
        <f t="shared" si="18"/>
        <v>2.8572400000000001E-5</v>
      </c>
      <c r="K38" s="7">
        <f t="shared" si="0"/>
        <v>37.791715081687208</v>
      </c>
      <c r="L38" s="37"/>
      <c r="M38" s="18">
        <f>L32/I38</f>
        <v>27782.922763474726</v>
      </c>
      <c r="N38" s="13">
        <f t="shared" si="5"/>
        <v>4.3191999999999987E-2</v>
      </c>
      <c r="O38" s="7">
        <f t="shared" si="6"/>
        <v>874.97025101146562</v>
      </c>
    </row>
    <row r="39" spans="1:15" x14ac:dyDescent="0.55000000000000004">
      <c r="A39" s="12">
        <v>3.5</v>
      </c>
      <c r="B39" s="12">
        <v>-1.5</v>
      </c>
      <c r="C39" s="48">
        <v>-1.3901800000000002</v>
      </c>
      <c r="D39" s="54">
        <v>2.8508800000000001</v>
      </c>
      <c r="E39" s="29">
        <f t="shared" si="15"/>
        <v>4.89018</v>
      </c>
      <c r="F39" s="4">
        <f t="shared" si="16"/>
        <v>0.64911999999999992</v>
      </c>
      <c r="G39" s="12">
        <v>100</v>
      </c>
      <c r="H39" s="13">
        <v>100000</v>
      </c>
      <c r="I39" s="13">
        <f t="shared" si="17"/>
        <v>1.098199999999998E-3</v>
      </c>
      <c r="J39" s="13">
        <f t="shared" si="18"/>
        <v>2.8508800000000001E-5</v>
      </c>
      <c r="K39" s="7">
        <f t="shared" si="0"/>
        <v>38.521438994275378</v>
      </c>
      <c r="L39" s="37"/>
      <c r="M39" s="18">
        <f>L32/I39</f>
        <v>27317.428519395424</v>
      </c>
      <c r="N39" s="13">
        <f t="shared" si="5"/>
        <v>4.3927999999999919E-2</v>
      </c>
      <c r="O39" s="7">
        <f t="shared" si="6"/>
        <v>876.92221349197439</v>
      </c>
    </row>
    <row r="40" spans="1:15" x14ac:dyDescent="0.55000000000000004">
      <c r="A40" s="12">
        <v>3.5</v>
      </c>
      <c r="B40" s="12">
        <v>-1</v>
      </c>
      <c r="C40" s="48">
        <v>-0.89446000000000014</v>
      </c>
      <c r="D40" s="54">
        <v>2.85182</v>
      </c>
      <c r="E40" s="29">
        <f t="shared" si="15"/>
        <v>4.3944600000000005</v>
      </c>
      <c r="F40" s="4">
        <f t="shared" si="16"/>
        <v>0.64817999999999998</v>
      </c>
      <c r="G40" s="12">
        <v>100</v>
      </c>
      <c r="H40" s="13">
        <v>100000</v>
      </c>
      <c r="I40" s="13">
        <f t="shared" si="17"/>
        <v>1.0553999999999987E-3</v>
      </c>
      <c r="J40" s="13">
        <f t="shared" si="18"/>
        <v>2.8518200000000001E-5</v>
      </c>
      <c r="K40" s="7">
        <f t="shared" si="0"/>
        <v>37.007945803030999</v>
      </c>
      <c r="L40" s="37"/>
      <c r="M40" s="18">
        <f>L32/I40</f>
        <v>28425.241614553761</v>
      </c>
      <c r="N40" s="13">
        <f t="shared" si="5"/>
        <v>4.2215999999999941E-2</v>
      </c>
      <c r="O40" s="7">
        <f t="shared" si="6"/>
        <v>876.63316759122245</v>
      </c>
    </row>
    <row r="41" spans="1:15" x14ac:dyDescent="0.55000000000000004">
      <c r="A41" s="12">
        <v>3.5</v>
      </c>
      <c r="B41" s="12">
        <v>-0.5</v>
      </c>
      <c r="C41" s="49">
        <v>-0.39485999999999999</v>
      </c>
      <c r="D41" s="55">
        <v>2.8487200000000001</v>
      </c>
      <c r="E41" s="29">
        <f t="shared" si="15"/>
        <v>3.89486</v>
      </c>
      <c r="F41" s="4">
        <f t="shared" si="16"/>
        <v>0.65127999999999986</v>
      </c>
      <c r="G41" s="12">
        <v>100</v>
      </c>
      <c r="H41" s="13">
        <v>100000</v>
      </c>
      <c r="I41" s="13">
        <f t="shared" si="17"/>
        <v>1.0514000000000001E-3</v>
      </c>
      <c r="J41" s="13">
        <f t="shared" si="18"/>
        <v>2.8487200000000001E-5</v>
      </c>
      <c r="K41" s="7">
        <f t="shared" si="0"/>
        <v>36.90780420680165</v>
      </c>
      <c r="L41" s="37"/>
      <c r="M41" s="18">
        <f>L32/I41</f>
        <v>28533.384059349435</v>
      </c>
      <c r="N41" s="13">
        <f t="shared" si="5"/>
        <v>4.2056000000000003E-2</v>
      </c>
      <c r="O41" s="7">
        <f t="shared" si="6"/>
        <v>877.58712684995373</v>
      </c>
    </row>
    <row r="42" spans="1:15" x14ac:dyDescent="0.55000000000000004">
      <c r="A42" s="8">
        <v>3</v>
      </c>
      <c r="B42" s="8">
        <v>-5</v>
      </c>
      <c r="C42" s="47">
        <v>-4.8853999999999997</v>
      </c>
      <c r="D42" s="53">
        <v>2.3589799999999999</v>
      </c>
      <c r="E42" s="26">
        <f>A42-C42</f>
        <v>7.8853999999999997</v>
      </c>
      <c r="F42" s="2">
        <f>A42-D42</f>
        <v>0.64102000000000015</v>
      </c>
      <c r="G42" s="8">
        <v>100</v>
      </c>
      <c r="H42" s="9">
        <v>100000</v>
      </c>
      <c r="I42" s="9">
        <f>(C42-B42)/G42</f>
        <v>1.1460000000000025E-3</v>
      </c>
      <c r="J42" s="9">
        <f>(D42-0)/H42</f>
        <v>2.3589799999999999E-5</v>
      </c>
      <c r="K42" s="5">
        <f t="shared" si="0"/>
        <v>48.580318612281687</v>
      </c>
      <c r="L42" s="33">
        <f>0.0008/(0.00004)</f>
        <v>20</v>
      </c>
      <c r="M42" s="16">
        <f>L42/I42</f>
        <v>17452.006980802755</v>
      </c>
      <c r="N42" s="9">
        <f t="shared" si="5"/>
        <v>4.5840000000000096E-2</v>
      </c>
      <c r="O42" s="5">
        <f t="shared" si="6"/>
        <v>1059.7800744389526</v>
      </c>
    </row>
    <row r="43" spans="1:15" x14ac:dyDescent="0.55000000000000004">
      <c r="A43" s="8">
        <v>3</v>
      </c>
      <c r="B43" s="8">
        <v>-4.5</v>
      </c>
      <c r="C43" s="48">
        <v>-4.3868200000000002</v>
      </c>
      <c r="D43" s="54">
        <v>2.3607400000000007</v>
      </c>
      <c r="E43" s="26">
        <f t="shared" ref="E43:E51" si="19">A43-C43</f>
        <v>7.3868200000000002</v>
      </c>
      <c r="F43" s="2">
        <f t="shared" ref="F43:F51" si="20">A43-D43</f>
        <v>0.63925999999999927</v>
      </c>
      <c r="G43" s="8">
        <v>100</v>
      </c>
      <c r="H43" s="9">
        <v>100000</v>
      </c>
      <c r="I43" s="9">
        <f t="shared" ref="I43:I51" si="21">(C43-B43)/G43</f>
        <v>1.1317999999999983E-3</v>
      </c>
      <c r="J43" s="9">
        <f t="shared" ref="J43:J51" si="22">(D43-0)/H43</f>
        <v>2.3607400000000007E-5</v>
      </c>
      <c r="K43" s="5">
        <f t="shared" si="0"/>
        <v>47.942594271287732</v>
      </c>
      <c r="L43" s="38"/>
      <c r="M43" s="16">
        <f>L42/I43</f>
        <v>17670.966601873148</v>
      </c>
      <c r="N43" s="9">
        <f t="shared" si="5"/>
        <v>4.527199999999993E-2</v>
      </c>
      <c r="O43" s="5">
        <f t="shared" si="6"/>
        <v>1058.9899777188507</v>
      </c>
    </row>
    <row r="44" spans="1:15" x14ac:dyDescent="0.55000000000000004">
      <c r="A44" s="8">
        <v>3</v>
      </c>
      <c r="B44" s="8">
        <v>-4</v>
      </c>
      <c r="C44" s="48">
        <v>-3.88802</v>
      </c>
      <c r="D44" s="54">
        <v>2.3589800000000003</v>
      </c>
      <c r="E44" s="26">
        <f t="shared" si="19"/>
        <v>6.88802</v>
      </c>
      <c r="F44" s="2">
        <f t="shared" si="20"/>
        <v>0.6410199999999997</v>
      </c>
      <c r="G44" s="8">
        <v>100</v>
      </c>
      <c r="H44" s="9">
        <v>100000</v>
      </c>
      <c r="I44" s="9">
        <f t="shared" si="21"/>
        <v>1.1197999999999998E-3</v>
      </c>
      <c r="J44" s="9">
        <f t="shared" si="22"/>
        <v>2.3589800000000002E-5</v>
      </c>
      <c r="K44" s="5">
        <f t="shared" si="0"/>
        <v>47.469669094269541</v>
      </c>
      <c r="L44" s="38"/>
      <c r="M44" s="16">
        <f>L42/I44</f>
        <v>17860.332202178965</v>
      </c>
      <c r="N44" s="9">
        <f t="shared" si="5"/>
        <v>4.4791999999999992E-2</v>
      </c>
      <c r="O44" s="5">
        <f t="shared" si="6"/>
        <v>1059.7800744389524</v>
      </c>
    </row>
    <row r="45" spans="1:15" x14ac:dyDescent="0.55000000000000004">
      <c r="A45" s="8">
        <v>3</v>
      </c>
      <c r="B45" s="8">
        <v>-3.5</v>
      </c>
      <c r="C45" s="48">
        <v>-3.3963000000000001</v>
      </c>
      <c r="D45" s="54">
        <v>2.3652199999999999</v>
      </c>
      <c r="E45" s="26">
        <f t="shared" si="19"/>
        <v>6.3963000000000001</v>
      </c>
      <c r="F45" s="2">
        <f t="shared" si="20"/>
        <v>0.63478000000000012</v>
      </c>
      <c r="G45" s="8">
        <v>100</v>
      </c>
      <c r="H45" s="9">
        <v>100000</v>
      </c>
      <c r="I45" s="9">
        <f t="shared" si="21"/>
        <v>1.0369999999999991E-3</v>
      </c>
      <c r="J45" s="9">
        <f t="shared" si="22"/>
        <v>2.36522E-5</v>
      </c>
      <c r="K45" s="5">
        <f t="shared" si="0"/>
        <v>43.843701642976086</v>
      </c>
      <c r="L45" s="38"/>
      <c r="M45" s="16">
        <f>L42/I45</f>
        <v>19286.40308582451</v>
      </c>
      <c r="N45" s="9">
        <f t="shared" si="5"/>
        <v>4.1479999999999961E-2</v>
      </c>
      <c r="O45" s="5">
        <f t="shared" si="6"/>
        <v>1056.984128326329</v>
      </c>
    </row>
    <row r="46" spans="1:15" x14ac:dyDescent="0.55000000000000004">
      <c r="A46" s="8">
        <v>3</v>
      </c>
      <c r="B46" s="8">
        <v>-3</v>
      </c>
      <c r="C46" s="48">
        <v>-2.8987399999999997</v>
      </c>
      <c r="D46" s="54">
        <v>2.36252</v>
      </c>
      <c r="E46" s="26">
        <f t="shared" si="19"/>
        <v>5.8987400000000001</v>
      </c>
      <c r="F46" s="2">
        <f t="shared" si="20"/>
        <v>0.63748000000000005</v>
      </c>
      <c r="G46" s="8">
        <v>100</v>
      </c>
      <c r="H46" s="9">
        <v>100000</v>
      </c>
      <c r="I46" s="9">
        <f t="shared" si="21"/>
        <v>1.0126000000000035E-3</v>
      </c>
      <c r="J46" s="9">
        <f t="shared" si="22"/>
        <v>2.3625199999999999E-5</v>
      </c>
      <c r="K46" s="5">
        <f t="shared" si="0"/>
        <v>42.861012816822864</v>
      </c>
      <c r="L46" s="38"/>
      <c r="M46" s="16">
        <f>L42/I46</f>
        <v>19751.135690302126</v>
      </c>
      <c r="N46" s="9">
        <f t="shared" si="5"/>
        <v>4.0504000000000137E-2</v>
      </c>
      <c r="O46" s="5">
        <f t="shared" si="6"/>
        <v>1058.1920999610586</v>
      </c>
    </row>
    <row r="47" spans="1:15" x14ac:dyDescent="0.55000000000000004">
      <c r="A47" s="8">
        <v>3</v>
      </c>
      <c r="B47" s="8">
        <v>-2.5</v>
      </c>
      <c r="C47" s="48">
        <v>-2.3997800000000002</v>
      </c>
      <c r="D47" s="54">
        <v>2.3632599999999995</v>
      </c>
      <c r="E47" s="26">
        <f t="shared" si="19"/>
        <v>5.3997799999999998</v>
      </c>
      <c r="F47" s="2">
        <f t="shared" si="20"/>
        <v>0.63674000000000053</v>
      </c>
      <c r="G47" s="8">
        <v>100</v>
      </c>
      <c r="H47" s="9">
        <v>100000</v>
      </c>
      <c r="I47" s="9">
        <f t="shared" si="21"/>
        <v>1.0021999999999976E-3</v>
      </c>
      <c r="J47" s="9">
        <f t="shared" si="22"/>
        <v>2.3632599999999995E-5</v>
      </c>
      <c r="K47" s="5">
        <f t="shared" si="0"/>
        <v>42.407521813088607</v>
      </c>
      <c r="L47" s="38"/>
      <c r="M47" s="16">
        <f>L42/I47</f>
        <v>19956.096587507531</v>
      </c>
      <c r="N47" s="9">
        <f t="shared" si="5"/>
        <v>4.0087999999999901E-2</v>
      </c>
      <c r="O47" s="5">
        <f t="shared" si="6"/>
        <v>1057.860751673536</v>
      </c>
    </row>
    <row r="48" spans="1:15" x14ac:dyDescent="0.55000000000000004">
      <c r="A48" s="8">
        <v>3</v>
      </c>
      <c r="B48" s="8">
        <v>-2</v>
      </c>
      <c r="C48" s="48">
        <v>-1.8990800000000001</v>
      </c>
      <c r="D48" s="54">
        <v>2.3618200000000003</v>
      </c>
      <c r="E48" s="26">
        <f t="shared" si="19"/>
        <v>4.8990799999999997</v>
      </c>
      <c r="F48" s="2">
        <f t="shared" si="20"/>
        <v>0.63817999999999975</v>
      </c>
      <c r="G48" s="8">
        <v>100</v>
      </c>
      <c r="H48" s="9">
        <v>100000</v>
      </c>
      <c r="I48" s="9">
        <f t="shared" si="21"/>
        <v>1.0091999999999989E-3</v>
      </c>
      <c r="J48" s="9">
        <f t="shared" si="22"/>
        <v>2.3618200000000004E-5</v>
      </c>
      <c r="K48" s="5">
        <f t="shared" si="0"/>
        <v>42.729759253457026</v>
      </c>
      <c r="L48" s="38"/>
      <c r="M48" s="16">
        <f>L42/I48</f>
        <v>19817.677368212466</v>
      </c>
      <c r="N48" s="9">
        <f t="shared" si="5"/>
        <v>4.0367999999999953E-2</v>
      </c>
      <c r="O48" s="5">
        <f t="shared" si="6"/>
        <v>1058.5057286330032</v>
      </c>
    </row>
    <row r="49" spans="1:15" x14ac:dyDescent="0.55000000000000004">
      <c r="A49" s="8">
        <v>3</v>
      </c>
      <c r="B49" s="8">
        <v>-1.5</v>
      </c>
      <c r="C49" s="48">
        <v>-1.3967400000000001</v>
      </c>
      <c r="D49" s="54">
        <v>2.3554200000000001</v>
      </c>
      <c r="E49" s="26">
        <f t="shared" si="19"/>
        <v>4.3967400000000003</v>
      </c>
      <c r="F49" s="2">
        <f t="shared" si="20"/>
        <v>0.64457999999999993</v>
      </c>
      <c r="G49" s="8">
        <v>100</v>
      </c>
      <c r="H49" s="9">
        <v>100000</v>
      </c>
      <c r="I49" s="9">
        <f t="shared" si="21"/>
        <v>1.032599999999999E-3</v>
      </c>
      <c r="J49" s="9">
        <f t="shared" si="22"/>
        <v>2.3554200000000002E-5</v>
      </c>
      <c r="K49" s="5">
        <f t="shared" si="0"/>
        <v>43.839315281351048</v>
      </c>
      <c r="L49" s="38"/>
      <c r="M49" s="16">
        <f>L42/I49</f>
        <v>19368.584156498178</v>
      </c>
      <c r="N49" s="9">
        <f t="shared" si="5"/>
        <v>4.1303999999999959E-2</v>
      </c>
      <c r="O49" s="5">
        <f t="shared" si="6"/>
        <v>1061.3818342376305</v>
      </c>
    </row>
    <row r="50" spans="1:15" x14ac:dyDescent="0.55000000000000004">
      <c r="A50" s="8">
        <v>3</v>
      </c>
      <c r="B50" s="8">
        <v>-1</v>
      </c>
      <c r="C50" s="48">
        <v>-0.89998</v>
      </c>
      <c r="D50" s="54">
        <v>2.3548399999999998</v>
      </c>
      <c r="E50" s="26">
        <f t="shared" si="19"/>
        <v>3.8999800000000002</v>
      </c>
      <c r="F50" s="2">
        <f t="shared" si="20"/>
        <v>0.64516000000000018</v>
      </c>
      <c r="G50" s="8">
        <v>100</v>
      </c>
      <c r="H50" s="9">
        <v>100000</v>
      </c>
      <c r="I50" s="9">
        <f t="shared" si="21"/>
        <v>1.0001999999999999E-3</v>
      </c>
      <c r="J50" s="9">
        <f t="shared" si="22"/>
        <v>2.35484E-5</v>
      </c>
      <c r="K50" s="5">
        <f t="shared" si="0"/>
        <v>42.474223301795448</v>
      </c>
      <c r="L50" s="38"/>
      <c r="M50" s="16">
        <f>L42/I50</f>
        <v>19996.000799840032</v>
      </c>
      <c r="N50" s="9">
        <f t="shared" si="5"/>
        <v>4.0007999999999995E-2</v>
      </c>
      <c r="O50" s="5">
        <f t="shared" si="6"/>
        <v>1061.6432538941076</v>
      </c>
    </row>
    <row r="51" spans="1:15" x14ac:dyDescent="0.55000000000000004">
      <c r="A51" s="8">
        <v>3</v>
      </c>
      <c r="B51" s="8">
        <v>-0.5</v>
      </c>
      <c r="C51" s="49">
        <v>-0.40178000000000003</v>
      </c>
      <c r="D51" s="55">
        <v>2.3520400000000001</v>
      </c>
      <c r="E51" s="26">
        <f t="shared" si="19"/>
        <v>3.40178</v>
      </c>
      <c r="F51" s="2">
        <f t="shared" si="20"/>
        <v>0.64795999999999987</v>
      </c>
      <c r="G51" s="8">
        <v>100</v>
      </c>
      <c r="H51" s="9">
        <v>100000</v>
      </c>
      <c r="I51" s="9">
        <f t="shared" si="21"/>
        <v>9.821999999999997E-4</v>
      </c>
      <c r="J51" s="9">
        <f t="shared" si="22"/>
        <v>2.3520400000000003E-5</v>
      </c>
      <c r="K51" s="5">
        <f t="shared" si="0"/>
        <v>41.759493886158381</v>
      </c>
      <c r="L51" s="38"/>
      <c r="M51" s="16">
        <f>L42/I51</f>
        <v>20362.451639177365</v>
      </c>
      <c r="N51" s="9">
        <f t="shared" si="5"/>
        <v>3.9287999999999983E-2</v>
      </c>
      <c r="O51" s="5">
        <f t="shared" si="6"/>
        <v>1062.9070934167785</v>
      </c>
    </row>
    <row r="52" spans="1:15" x14ac:dyDescent="0.55000000000000004">
      <c r="A52" s="21">
        <v>2.5</v>
      </c>
      <c r="B52" s="21">
        <v>-5</v>
      </c>
      <c r="C52" s="47">
        <v>-4.8949800000000003</v>
      </c>
      <c r="D52" s="53">
        <v>1.8642400000000001</v>
      </c>
      <c r="E52" s="27">
        <f>A52-C52</f>
        <v>7.3949800000000003</v>
      </c>
      <c r="F52" s="25">
        <f>A52-D52</f>
        <v>0.63575999999999988</v>
      </c>
      <c r="G52" s="21">
        <v>100</v>
      </c>
      <c r="H52" s="22">
        <v>100000</v>
      </c>
      <c r="I52" s="22">
        <f>(C52-B52)/G52</f>
        <v>1.0501999999999968E-3</v>
      </c>
      <c r="J52" s="22">
        <f>(D52-0)/H52</f>
        <v>1.86424E-5</v>
      </c>
      <c r="K52" s="23">
        <f t="shared" si="0"/>
        <v>56.333948418658373</v>
      </c>
      <c r="L52" s="34">
        <f>0.0008/(0.00003)</f>
        <v>26.666666666666668</v>
      </c>
      <c r="M52" s="24">
        <f>L52/I52</f>
        <v>25391.988827524994</v>
      </c>
      <c r="N52" s="22">
        <f t="shared" si="5"/>
        <v>4.2007999999999872E-2</v>
      </c>
      <c r="O52" s="23">
        <f t="shared" si="6"/>
        <v>1341.0290520533838</v>
      </c>
    </row>
    <row r="53" spans="1:15" x14ac:dyDescent="0.55000000000000004">
      <c r="A53" s="21">
        <v>2.5</v>
      </c>
      <c r="B53" s="21">
        <v>-4.5</v>
      </c>
      <c r="C53" s="48">
        <v>-4.3949400000000001</v>
      </c>
      <c r="D53" s="54">
        <v>1.8647400000000001</v>
      </c>
      <c r="E53" s="27">
        <f t="shared" ref="E53:E61" si="23">A53-C53</f>
        <v>6.8949400000000001</v>
      </c>
      <c r="F53" s="25">
        <f t="shared" ref="F53:F61" si="24">A53-D53</f>
        <v>0.63525999999999994</v>
      </c>
      <c r="G53" s="21">
        <v>100</v>
      </c>
      <c r="H53" s="22">
        <v>100000</v>
      </c>
      <c r="I53" s="22">
        <f t="shared" ref="I53:I61" si="25">(C53-B53)/G53</f>
        <v>1.0505999999999994E-3</v>
      </c>
      <c r="J53" s="22">
        <f t="shared" ref="J53:J61" si="26">(D53-0)/H53</f>
        <v>1.86474E-5</v>
      </c>
      <c r="K53" s="23">
        <f t="shared" si="0"/>
        <v>56.340294089256375</v>
      </c>
      <c r="L53" s="36"/>
      <c r="M53" s="24">
        <f>L52/I53</f>
        <v>25382.321213274969</v>
      </c>
      <c r="N53" s="22">
        <f t="shared" si="5"/>
        <v>4.2023999999999971E-2</v>
      </c>
      <c r="O53" s="23">
        <f t="shared" si="6"/>
        <v>1340.66947670989</v>
      </c>
    </row>
    <row r="54" spans="1:15" x14ac:dyDescent="0.55000000000000004">
      <c r="A54" s="21">
        <v>2.5</v>
      </c>
      <c r="B54" s="21">
        <v>-4</v>
      </c>
      <c r="C54" s="48">
        <v>-3.8965400000000003</v>
      </c>
      <c r="D54" s="54">
        <v>1.8638000000000001</v>
      </c>
      <c r="E54" s="27">
        <f t="shared" si="23"/>
        <v>6.3965399999999999</v>
      </c>
      <c r="F54" s="25">
        <f t="shared" si="24"/>
        <v>0.63619999999999988</v>
      </c>
      <c r="G54" s="21">
        <v>100</v>
      </c>
      <c r="H54" s="22">
        <v>100000</v>
      </c>
      <c r="I54" s="22">
        <f t="shared" si="25"/>
        <v>1.0345999999999966E-3</v>
      </c>
      <c r="J54" s="22">
        <f t="shared" si="26"/>
        <v>1.8638E-5</v>
      </c>
      <c r="K54" s="23">
        <f t="shared" si="0"/>
        <v>55.51024788067371</v>
      </c>
      <c r="L54" s="36"/>
      <c r="M54" s="24">
        <f>L52/I54</f>
        <v>25774.856627360095</v>
      </c>
      <c r="N54" s="22">
        <f t="shared" si="5"/>
        <v>4.1383999999999865E-2</v>
      </c>
      <c r="O54" s="23">
        <f t="shared" si="6"/>
        <v>1341.3456379439854</v>
      </c>
    </row>
    <row r="55" spans="1:15" x14ac:dyDescent="0.55000000000000004">
      <c r="A55" s="21">
        <v>2.5</v>
      </c>
      <c r="B55" s="21">
        <v>-3.5</v>
      </c>
      <c r="C55" s="48">
        <v>-3.4019600000000003</v>
      </c>
      <c r="D55" s="54">
        <v>1.8683999999999998</v>
      </c>
      <c r="E55" s="27">
        <f t="shared" si="23"/>
        <v>5.9019600000000008</v>
      </c>
      <c r="F55" s="25">
        <f t="shared" si="24"/>
        <v>0.63160000000000016</v>
      </c>
      <c r="G55" s="21">
        <v>100</v>
      </c>
      <c r="H55" s="22">
        <v>100000</v>
      </c>
      <c r="I55" s="22">
        <f t="shared" si="25"/>
        <v>9.8039999999999673E-4</v>
      </c>
      <c r="J55" s="22">
        <f t="shared" si="26"/>
        <v>1.8683999999999999E-5</v>
      </c>
      <c r="K55" s="23">
        <f t="shared" si="0"/>
        <v>52.472703917790447</v>
      </c>
      <c r="L55" s="36"/>
      <c r="M55" s="24">
        <f>L52/I55</f>
        <v>27199.782401740878</v>
      </c>
      <c r="N55" s="22">
        <f t="shared" si="5"/>
        <v>3.9215999999999869E-2</v>
      </c>
      <c r="O55" s="23">
        <f t="shared" si="6"/>
        <v>1338.0432455576965</v>
      </c>
    </row>
    <row r="56" spans="1:15" x14ac:dyDescent="0.55000000000000004">
      <c r="A56" s="21">
        <v>2.5</v>
      </c>
      <c r="B56" s="21">
        <v>-3</v>
      </c>
      <c r="C56" s="48">
        <v>-2.9053200000000006</v>
      </c>
      <c r="D56" s="54">
        <v>1.8656000000000001</v>
      </c>
      <c r="E56" s="27">
        <f t="shared" si="23"/>
        <v>5.4053200000000006</v>
      </c>
      <c r="F56" s="25">
        <f t="shared" si="24"/>
        <v>0.63439999999999985</v>
      </c>
      <c r="G56" s="21">
        <v>100</v>
      </c>
      <c r="H56" s="22">
        <v>100000</v>
      </c>
      <c r="I56" s="22">
        <f t="shared" si="25"/>
        <v>9.4679999999999428E-4</v>
      </c>
      <c r="J56" s="22">
        <f t="shared" si="26"/>
        <v>1.8656000000000002E-5</v>
      </c>
      <c r="K56" s="23">
        <f t="shared" si="0"/>
        <v>50.75042881646624</v>
      </c>
      <c r="L56" s="36"/>
      <c r="M56" s="24">
        <f>L52/I56</f>
        <v>28165.047176454191</v>
      </c>
      <c r="N56" s="22">
        <f t="shared" si="5"/>
        <v>3.7871999999999767E-2</v>
      </c>
      <c r="O56" s="23">
        <f t="shared" si="6"/>
        <v>1340.0514579759863</v>
      </c>
    </row>
    <row r="57" spans="1:15" x14ac:dyDescent="0.55000000000000004">
      <c r="A57" s="21">
        <v>2.5</v>
      </c>
      <c r="B57" s="21">
        <v>-2.5</v>
      </c>
      <c r="C57" s="48">
        <v>-2.4067400000000001</v>
      </c>
      <c r="D57" s="54">
        <v>1.8672800000000003</v>
      </c>
      <c r="E57" s="27">
        <f t="shared" si="23"/>
        <v>4.9067400000000001</v>
      </c>
      <c r="F57" s="25">
        <f t="shared" si="24"/>
        <v>0.63271999999999973</v>
      </c>
      <c r="G57" s="21">
        <v>100</v>
      </c>
      <c r="H57" s="22">
        <v>100000</v>
      </c>
      <c r="I57" s="22">
        <f t="shared" si="25"/>
        <v>9.3259999999999903E-4</v>
      </c>
      <c r="J57" s="22">
        <f t="shared" si="26"/>
        <v>1.8672800000000002E-5</v>
      </c>
      <c r="K57" s="23">
        <f t="shared" si="0"/>
        <v>49.944304014395215</v>
      </c>
      <c r="L57" s="36"/>
      <c r="M57" s="24">
        <f>L52/I57</f>
        <v>28593.895203374112</v>
      </c>
      <c r="N57" s="22">
        <f t="shared" si="5"/>
        <v>3.7303999999999962E-2</v>
      </c>
      <c r="O57" s="23">
        <f t="shared" si="6"/>
        <v>1338.8458078060066</v>
      </c>
    </row>
    <row r="58" spans="1:15" x14ac:dyDescent="0.55000000000000004">
      <c r="A58" s="21">
        <v>2.5</v>
      </c>
      <c r="B58" s="21">
        <v>-2</v>
      </c>
      <c r="C58" s="48">
        <v>-1.9060000000000001</v>
      </c>
      <c r="D58" s="54">
        <v>1.8658000000000001</v>
      </c>
      <c r="E58" s="27">
        <f t="shared" si="23"/>
        <v>4.4060000000000006</v>
      </c>
      <c r="F58" s="25">
        <f t="shared" si="24"/>
        <v>0.63419999999999987</v>
      </c>
      <c r="G58" s="21">
        <v>100</v>
      </c>
      <c r="H58" s="22">
        <v>100000</v>
      </c>
      <c r="I58" s="22">
        <f t="shared" si="25"/>
        <v>9.3999999999999856E-4</v>
      </c>
      <c r="J58" s="22">
        <f t="shared" si="26"/>
        <v>1.8658E-5</v>
      </c>
      <c r="K58" s="23">
        <f t="shared" si="0"/>
        <v>50.380533819273154</v>
      </c>
      <c r="L58" s="36"/>
      <c r="M58" s="24">
        <f>L52/I58</f>
        <v>28368.794326241179</v>
      </c>
      <c r="N58" s="22">
        <f t="shared" si="5"/>
        <v>3.7599999999999939E-2</v>
      </c>
      <c r="O58" s="23">
        <f t="shared" si="6"/>
        <v>1339.9078143423733</v>
      </c>
    </row>
    <row r="59" spans="1:15" x14ac:dyDescent="0.55000000000000004">
      <c r="A59" s="21">
        <v>2.5</v>
      </c>
      <c r="B59" s="21">
        <v>-1.5</v>
      </c>
      <c r="C59" s="48">
        <v>-1.40706</v>
      </c>
      <c r="D59" s="54">
        <v>1.8637600000000003</v>
      </c>
      <c r="E59" s="27">
        <f t="shared" si="23"/>
        <v>3.90706</v>
      </c>
      <c r="F59" s="25">
        <f t="shared" si="24"/>
        <v>0.63623999999999969</v>
      </c>
      <c r="G59" s="21">
        <v>100</v>
      </c>
      <c r="H59" s="22">
        <v>100000</v>
      </c>
      <c r="I59" s="22">
        <f t="shared" si="25"/>
        <v>9.2940000000000026E-4</v>
      </c>
      <c r="J59" s="22">
        <f t="shared" si="26"/>
        <v>1.8637600000000003E-5</v>
      </c>
      <c r="K59" s="23">
        <f t="shared" si="0"/>
        <v>49.866935656951547</v>
      </c>
      <c r="L59" s="36"/>
      <c r="M59" s="24">
        <f>L52/I59</f>
        <v>28692.346316620034</v>
      </c>
      <c r="N59" s="22">
        <f t="shared" si="5"/>
        <v>3.7176000000000008E-2</v>
      </c>
      <c r="O59" s="23">
        <f t="shared" si="6"/>
        <v>1341.3744258917457</v>
      </c>
    </row>
    <row r="60" spans="1:15" x14ac:dyDescent="0.55000000000000004">
      <c r="A60" s="21">
        <v>2.5</v>
      </c>
      <c r="B60" s="21">
        <v>-1</v>
      </c>
      <c r="C60" s="48">
        <v>-0.90732000000000002</v>
      </c>
      <c r="D60" s="54">
        <v>1.8607400000000003</v>
      </c>
      <c r="E60" s="27">
        <f t="shared" si="23"/>
        <v>3.4073199999999999</v>
      </c>
      <c r="F60" s="25">
        <f t="shared" si="24"/>
        <v>0.63925999999999972</v>
      </c>
      <c r="G60" s="21">
        <v>100</v>
      </c>
      <c r="H60" s="22">
        <v>100000</v>
      </c>
      <c r="I60" s="22">
        <f t="shared" si="25"/>
        <v>9.2679999999999987E-4</v>
      </c>
      <c r="J60" s="22">
        <f t="shared" si="26"/>
        <v>1.8607400000000004E-5</v>
      </c>
      <c r="K60" s="23">
        <f t="shared" si="0"/>
        <v>49.808140847189811</v>
      </c>
      <c r="L60" s="36"/>
      <c r="M60" s="24">
        <f>L52/I60</f>
        <v>28772.838440512161</v>
      </c>
      <c r="N60" s="22">
        <f t="shared" si="5"/>
        <v>3.7071999999999994E-2</v>
      </c>
      <c r="O60" s="23">
        <f t="shared" si="6"/>
        <v>1343.5514902673128</v>
      </c>
    </row>
    <row r="61" spans="1:15" x14ac:dyDescent="0.55000000000000004">
      <c r="A61" s="21">
        <v>2.5</v>
      </c>
      <c r="B61" s="21">
        <v>-0.5</v>
      </c>
      <c r="C61" s="49">
        <v>-0.40792</v>
      </c>
      <c r="D61" s="55">
        <v>1.8583200000000002</v>
      </c>
      <c r="E61" s="27">
        <f t="shared" si="23"/>
        <v>2.9079199999999998</v>
      </c>
      <c r="F61" s="25">
        <f t="shared" si="24"/>
        <v>0.64167999999999981</v>
      </c>
      <c r="G61" s="21">
        <v>100</v>
      </c>
      <c r="H61" s="22">
        <v>100000</v>
      </c>
      <c r="I61" s="22">
        <f t="shared" si="25"/>
        <v>9.2079999999999994E-4</v>
      </c>
      <c r="J61" s="22">
        <f t="shared" si="26"/>
        <v>1.8583200000000002E-5</v>
      </c>
      <c r="K61" s="23">
        <f t="shared" si="0"/>
        <v>49.550131301390493</v>
      </c>
      <c r="L61" s="36"/>
      <c r="M61" s="24">
        <f>L52/I61</f>
        <v>28960.324355632787</v>
      </c>
      <c r="N61" s="22">
        <f t="shared" si="5"/>
        <v>3.6831999999999997E-2</v>
      </c>
      <c r="O61" s="23">
        <f t="shared" si="6"/>
        <v>1345.3011322054329</v>
      </c>
    </row>
    <row r="62" spans="1:15" x14ac:dyDescent="0.55000000000000004">
      <c r="A62" s="10">
        <v>2</v>
      </c>
      <c r="B62" s="10">
        <v>-5</v>
      </c>
      <c r="C62" s="47">
        <v>-4.9013599999999995</v>
      </c>
      <c r="D62" s="53">
        <v>1.3740200000000002</v>
      </c>
      <c r="E62" s="28">
        <f>A62-C62</f>
        <v>6.9013599999999995</v>
      </c>
      <c r="F62" s="3">
        <f>A62-D62</f>
        <v>0.62597999999999976</v>
      </c>
      <c r="G62" s="10">
        <v>100</v>
      </c>
      <c r="H62" s="11">
        <v>100000</v>
      </c>
      <c r="I62" s="11">
        <f>(C62-B62)/G62</f>
        <v>9.8640000000000511E-4</v>
      </c>
      <c r="J62" s="11">
        <f>(D62-0)/H62</f>
        <v>1.3740200000000003E-5</v>
      </c>
      <c r="K62" s="6">
        <f t="shared" si="0"/>
        <v>71.789348044424742</v>
      </c>
      <c r="L62" s="30">
        <f>0.0007/(0.00003)</f>
        <v>23.333333333333332</v>
      </c>
      <c r="M62" s="17">
        <f>L62/I62</f>
        <v>23655.041903216963</v>
      </c>
      <c r="N62" s="11">
        <f t="shared" si="5"/>
        <v>3.9456000000000199E-2</v>
      </c>
      <c r="O62" s="6">
        <f t="shared" si="6"/>
        <v>1819.4786102094581</v>
      </c>
    </row>
    <row r="63" spans="1:15" x14ac:dyDescent="0.55000000000000004">
      <c r="A63" s="10">
        <v>2</v>
      </c>
      <c r="B63" s="10">
        <v>-4.5</v>
      </c>
      <c r="C63" s="48">
        <v>-4.4011800000000001</v>
      </c>
      <c r="D63" s="54">
        <v>1.3743799999999999</v>
      </c>
      <c r="E63" s="28">
        <f t="shared" ref="E63:E71" si="27">A63-C63</f>
        <v>6.4011800000000001</v>
      </c>
      <c r="F63" s="3">
        <f t="shared" ref="F63:F71" si="28">A63-D63</f>
        <v>0.62562000000000006</v>
      </c>
      <c r="G63" s="10">
        <v>100</v>
      </c>
      <c r="H63" s="11">
        <v>100000</v>
      </c>
      <c r="I63" s="11">
        <f t="shared" ref="I63:I71" si="29">(C63-B63)/G63</f>
        <v>9.8819999999999898E-4</v>
      </c>
      <c r="J63" s="11">
        <f t="shared" ref="J63:J71" si="30">(D63-0)/H63</f>
        <v>1.3743799999999999E-5</v>
      </c>
      <c r="K63" s="6">
        <f t="shared" si="0"/>
        <v>71.901511954481222</v>
      </c>
      <c r="L63" s="35"/>
      <c r="M63" s="17">
        <f>L62/I63</f>
        <v>23611.954395196677</v>
      </c>
      <c r="N63" s="11">
        <f t="shared" si="5"/>
        <v>3.9527999999999959E-2</v>
      </c>
      <c r="O63" s="6">
        <f t="shared" si="6"/>
        <v>1819.0020227302496</v>
      </c>
    </row>
    <row r="64" spans="1:15" x14ac:dyDescent="0.55000000000000004">
      <c r="A64" s="10">
        <v>2</v>
      </c>
      <c r="B64" s="10">
        <v>-4</v>
      </c>
      <c r="C64" s="48">
        <v>-3.9025599999999998</v>
      </c>
      <c r="D64" s="54">
        <v>1.37382</v>
      </c>
      <c r="E64" s="28">
        <f t="shared" si="27"/>
        <v>5.9025599999999994</v>
      </c>
      <c r="F64" s="3">
        <f t="shared" si="28"/>
        <v>0.62617999999999996</v>
      </c>
      <c r="G64" s="10">
        <v>100</v>
      </c>
      <c r="H64" s="11">
        <v>100000</v>
      </c>
      <c r="I64" s="11">
        <f t="shared" si="29"/>
        <v>9.7440000000000189E-4</v>
      </c>
      <c r="J64" s="11">
        <f t="shared" si="30"/>
        <v>1.37382E-5</v>
      </c>
      <c r="K64" s="6">
        <f t="shared" si="0"/>
        <v>70.926322225619217</v>
      </c>
      <c r="L64" s="35"/>
      <c r="M64" s="17">
        <f>L62/I64</f>
        <v>23946.360153256657</v>
      </c>
      <c r="N64" s="11">
        <f t="shared" si="5"/>
        <v>3.8976000000000073E-2</v>
      </c>
      <c r="O64" s="6">
        <f t="shared" si="6"/>
        <v>1819.7434889577967</v>
      </c>
    </row>
    <row r="65" spans="1:15" x14ac:dyDescent="0.55000000000000004">
      <c r="A65" s="10">
        <v>2</v>
      </c>
      <c r="B65" s="10">
        <v>-3.5</v>
      </c>
      <c r="C65" s="48">
        <v>-3.4088599999999998</v>
      </c>
      <c r="D65" s="54">
        <v>1.3787199999999999</v>
      </c>
      <c r="E65" s="28">
        <f t="shared" si="27"/>
        <v>5.4088599999999998</v>
      </c>
      <c r="F65" s="3">
        <f t="shared" si="28"/>
        <v>0.62128000000000005</v>
      </c>
      <c r="G65" s="10">
        <v>100</v>
      </c>
      <c r="H65" s="11">
        <v>100000</v>
      </c>
      <c r="I65" s="11">
        <f t="shared" si="29"/>
        <v>9.114000000000022E-4</v>
      </c>
      <c r="J65" s="11">
        <f t="shared" si="30"/>
        <v>1.3787199999999999E-5</v>
      </c>
      <c r="K65" s="6">
        <f t="shared" si="0"/>
        <v>66.104792851340534</v>
      </c>
      <c r="L65" s="35"/>
      <c r="M65" s="17">
        <f>L62/I65</f>
        <v>25601.638504864248</v>
      </c>
      <c r="N65" s="11">
        <f t="shared" si="5"/>
        <v>3.6456000000000086E-2</v>
      </c>
      <c r="O65" s="6">
        <f t="shared" si="6"/>
        <v>1813.2760821631662</v>
      </c>
    </row>
    <row r="66" spans="1:15" x14ac:dyDescent="0.55000000000000004">
      <c r="A66" s="10">
        <v>2</v>
      </c>
      <c r="B66" s="10">
        <v>-3</v>
      </c>
      <c r="C66" s="48">
        <v>-2.9103000000000003</v>
      </c>
      <c r="D66" s="54">
        <v>1.3761399999999999</v>
      </c>
      <c r="E66" s="28">
        <f t="shared" si="27"/>
        <v>4.9103000000000003</v>
      </c>
      <c r="F66" s="3">
        <f t="shared" si="28"/>
        <v>0.62386000000000008</v>
      </c>
      <c r="G66" s="10">
        <v>100</v>
      </c>
      <c r="H66" s="11">
        <v>100000</v>
      </c>
      <c r="I66" s="11">
        <f t="shared" si="29"/>
        <v>8.9699999999999665E-4</v>
      </c>
      <c r="J66" s="11">
        <f t="shared" si="30"/>
        <v>1.3761399999999998E-5</v>
      </c>
      <c r="K66" s="6">
        <f t="shared" ref="K66:K91" si="31">I66/J66</f>
        <v>65.182321566119484</v>
      </c>
      <c r="L66" s="35"/>
      <c r="M66" s="17">
        <f>L62/I66</f>
        <v>26012.63470828698</v>
      </c>
      <c r="N66" s="11">
        <f t="shared" si="5"/>
        <v>3.5879999999999863E-2</v>
      </c>
      <c r="O66" s="6">
        <f t="shared" si="6"/>
        <v>1816.6756289331031</v>
      </c>
    </row>
    <row r="67" spans="1:15" x14ac:dyDescent="0.55000000000000004">
      <c r="A67" s="10">
        <v>2</v>
      </c>
      <c r="B67" s="10">
        <v>-2.5</v>
      </c>
      <c r="C67" s="48">
        <v>-2.4125799999999997</v>
      </c>
      <c r="D67" s="54">
        <v>1.3770199999999999</v>
      </c>
      <c r="E67" s="28">
        <f t="shared" si="27"/>
        <v>4.4125800000000002</v>
      </c>
      <c r="F67" s="3">
        <f t="shared" si="28"/>
        <v>0.62298000000000009</v>
      </c>
      <c r="G67" s="10">
        <v>100</v>
      </c>
      <c r="H67" s="11">
        <v>100000</v>
      </c>
      <c r="I67" s="11">
        <f t="shared" si="29"/>
        <v>8.7420000000000271E-4</v>
      </c>
      <c r="J67" s="11">
        <f t="shared" si="30"/>
        <v>1.3770199999999999E-5</v>
      </c>
      <c r="K67" s="6">
        <f t="shared" si="31"/>
        <v>63.484916704187505</v>
      </c>
      <c r="L67" s="35"/>
      <c r="M67" s="17">
        <f>L62/I67</f>
        <v>26691.069930603135</v>
      </c>
      <c r="N67" s="11">
        <f t="shared" ref="N67:N91" si="32">I67/0.025</f>
        <v>3.4968000000000103E-2</v>
      </c>
      <c r="O67" s="6">
        <f t="shared" ref="O67:O91" si="33">0.025/J67</f>
        <v>1815.5146620964113</v>
      </c>
    </row>
    <row r="68" spans="1:15" x14ac:dyDescent="0.55000000000000004">
      <c r="A68" s="10">
        <v>2</v>
      </c>
      <c r="B68" s="10">
        <v>-2</v>
      </c>
      <c r="C68" s="48">
        <v>-1.9140400000000004</v>
      </c>
      <c r="D68" s="54">
        <v>1.3751</v>
      </c>
      <c r="E68" s="28">
        <f t="shared" si="27"/>
        <v>3.9140400000000004</v>
      </c>
      <c r="F68" s="3">
        <f t="shared" si="28"/>
        <v>0.62490000000000001</v>
      </c>
      <c r="G68" s="10">
        <v>100</v>
      </c>
      <c r="H68" s="11">
        <v>100000</v>
      </c>
      <c r="I68" s="11">
        <f t="shared" si="29"/>
        <v>8.5959999999999596E-4</v>
      </c>
      <c r="J68" s="11">
        <f t="shared" si="30"/>
        <v>1.3750999999999999E-5</v>
      </c>
      <c r="K68" s="6">
        <f t="shared" si="31"/>
        <v>62.511817322376267</v>
      </c>
      <c r="L68" s="35"/>
      <c r="M68" s="17">
        <f>L62/I68</f>
        <v>27144.408251900233</v>
      </c>
      <c r="N68" s="11">
        <f t="shared" si="32"/>
        <v>3.4383999999999838E-2</v>
      </c>
      <c r="O68" s="6">
        <f t="shared" si="33"/>
        <v>1818.0495963929898</v>
      </c>
    </row>
    <row r="69" spans="1:15" x14ac:dyDescent="0.55000000000000004">
      <c r="A69" s="10">
        <v>2</v>
      </c>
      <c r="B69" s="10">
        <v>-1.5</v>
      </c>
      <c r="C69" s="48">
        <v>-1.41496</v>
      </c>
      <c r="D69" s="54">
        <v>1.37496</v>
      </c>
      <c r="E69" s="28">
        <f t="shared" si="27"/>
        <v>3.4149599999999998</v>
      </c>
      <c r="F69" s="3">
        <f t="shared" si="28"/>
        <v>0.62504000000000004</v>
      </c>
      <c r="G69" s="10">
        <v>100</v>
      </c>
      <c r="H69" s="11">
        <v>100000</v>
      </c>
      <c r="I69" s="11">
        <f t="shared" si="29"/>
        <v>8.5040000000000007E-4</v>
      </c>
      <c r="J69" s="11">
        <f t="shared" si="30"/>
        <v>1.37496E-5</v>
      </c>
      <c r="K69" s="6">
        <f t="shared" si="31"/>
        <v>61.849071973002857</v>
      </c>
      <c r="L69" s="35"/>
      <c r="M69" s="17">
        <f>L62/I69</f>
        <v>27438.068359987454</v>
      </c>
      <c r="N69" s="11">
        <f t="shared" si="32"/>
        <v>3.4015999999999998E-2</v>
      </c>
      <c r="O69" s="6">
        <f t="shared" si="33"/>
        <v>1818.2347122825392</v>
      </c>
    </row>
    <row r="70" spans="1:15" x14ac:dyDescent="0.55000000000000004">
      <c r="A70" s="10">
        <v>2</v>
      </c>
      <c r="B70" s="10">
        <v>-1</v>
      </c>
      <c r="C70" s="48">
        <v>-0.91317999999999999</v>
      </c>
      <c r="D70" s="54">
        <v>1.3692800000000003</v>
      </c>
      <c r="E70" s="28">
        <f t="shared" si="27"/>
        <v>2.9131800000000001</v>
      </c>
      <c r="F70" s="3">
        <f t="shared" si="28"/>
        <v>0.63071999999999973</v>
      </c>
      <c r="G70" s="10">
        <v>100</v>
      </c>
      <c r="H70" s="11">
        <v>100000</v>
      </c>
      <c r="I70" s="11">
        <f t="shared" si="29"/>
        <v>8.6820000000000007E-4</v>
      </c>
      <c r="J70" s="11">
        <f t="shared" si="30"/>
        <v>1.3692800000000002E-5</v>
      </c>
      <c r="K70" s="6">
        <f t="shared" si="31"/>
        <v>63.405585417153539</v>
      </c>
      <c r="L70" s="35"/>
      <c r="M70" s="17">
        <f>L62/I70</f>
        <v>26875.527912155412</v>
      </c>
      <c r="N70" s="11">
        <f t="shared" si="32"/>
        <v>3.4728000000000002E-2</v>
      </c>
      <c r="O70" s="6">
        <f t="shared" si="33"/>
        <v>1825.7770507127832</v>
      </c>
    </row>
    <row r="71" spans="1:15" x14ac:dyDescent="0.55000000000000004">
      <c r="A71" s="10">
        <v>2</v>
      </c>
      <c r="B71" s="10">
        <v>-0.5</v>
      </c>
      <c r="C71" s="49">
        <v>-0.41408000000000006</v>
      </c>
      <c r="D71" s="55">
        <v>1.3675600000000001</v>
      </c>
      <c r="E71" s="28">
        <f t="shared" si="27"/>
        <v>2.4140800000000002</v>
      </c>
      <c r="F71" s="3">
        <f t="shared" si="28"/>
        <v>0.63243999999999989</v>
      </c>
      <c r="G71" s="10">
        <v>100</v>
      </c>
      <c r="H71" s="11">
        <v>100000</v>
      </c>
      <c r="I71" s="11">
        <f t="shared" si="29"/>
        <v>8.5919999999999942E-4</v>
      </c>
      <c r="J71" s="11">
        <f t="shared" si="30"/>
        <v>1.3675600000000002E-5</v>
      </c>
      <c r="K71" s="6">
        <f t="shared" si="31"/>
        <v>62.82722513089</v>
      </c>
      <c r="L71" s="35"/>
      <c r="M71" s="17">
        <f>L62/I71</f>
        <v>27157.045313469913</v>
      </c>
      <c r="N71" s="11">
        <f t="shared" si="32"/>
        <v>3.4367999999999975E-2</v>
      </c>
      <c r="O71" s="6">
        <f t="shared" si="33"/>
        <v>1828.0733569276667</v>
      </c>
    </row>
    <row r="72" spans="1:15" x14ac:dyDescent="0.55000000000000004">
      <c r="A72" s="12">
        <v>1.5</v>
      </c>
      <c r="B72" s="12">
        <v>-5</v>
      </c>
      <c r="C72" s="47">
        <v>-4.9101999999999997</v>
      </c>
      <c r="D72" s="53">
        <v>0.88534000000000002</v>
      </c>
      <c r="E72" s="29">
        <f>A72-C72</f>
        <v>6.4101999999999997</v>
      </c>
      <c r="F72" s="4">
        <f>A72-D72</f>
        <v>0.61465999999999998</v>
      </c>
      <c r="G72" s="12">
        <v>100</v>
      </c>
      <c r="H72" s="13">
        <v>100000</v>
      </c>
      <c r="I72" s="13">
        <f>(C72-B72)/G72</f>
        <v>8.9800000000000329E-4</v>
      </c>
      <c r="J72" s="13">
        <f>(D72-0)/H72</f>
        <v>8.8534000000000006E-6</v>
      </c>
      <c r="K72" s="7">
        <f t="shared" si="31"/>
        <v>101.42995911175404</v>
      </c>
      <c r="L72" s="32">
        <f>0.0007/(0.00003)</f>
        <v>23.333333333333332</v>
      </c>
      <c r="M72" s="18">
        <f>L72/I72</f>
        <v>25983.667409057067</v>
      </c>
      <c r="N72" s="13">
        <f t="shared" si="32"/>
        <v>3.5920000000000132E-2</v>
      </c>
      <c r="O72" s="7">
        <f t="shared" si="33"/>
        <v>2823.7739173650803</v>
      </c>
    </row>
    <row r="73" spans="1:15" x14ac:dyDescent="0.55000000000000004">
      <c r="A73" s="12">
        <v>1.5</v>
      </c>
      <c r="B73" s="12">
        <v>-4.5</v>
      </c>
      <c r="C73" s="48">
        <v>-4.4112400000000003</v>
      </c>
      <c r="D73" s="54">
        <v>0.88622000000000012</v>
      </c>
      <c r="E73" s="29">
        <f t="shared" ref="E73:E81" si="34">A73-C73</f>
        <v>5.9112400000000003</v>
      </c>
      <c r="F73" s="4">
        <f t="shared" ref="F73:F81" si="35">A73-D73</f>
        <v>0.61377999999999988</v>
      </c>
      <c r="G73" s="12">
        <v>100</v>
      </c>
      <c r="H73" s="13">
        <v>100000</v>
      </c>
      <c r="I73" s="13">
        <f t="shared" ref="I73:I81" si="36">(C73-B73)/G73</f>
        <v>8.8759999999999729E-4</v>
      </c>
      <c r="J73" s="13">
        <f t="shared" ref="J73:J81" si="37">(D73-0)/H73</f>
        <v>8.8622000000000013E-6</v>
      </c>
      <c r="K73" s="7">
        <f t="shared" si="31"/>
        <v>100.15571754191929</v>
      </c>
      <c r="L73" s="37"/>
      <c r="M73" s="18">
        <f>L72/I73</f>
        <v>26288.117770767691</v>
      </c>
      <c r="N73" s="13">
        <f t="shared" si="32"/>
        <v>3.550399999999989E-2</v>
      </c>
      <c r="O73" s="7">
        <f t="shared" si="33"/>
        <v>2820.9699623118408</v>
      </c>
    </row>
    <row r="74" spans="1:15" x14ac:dyDescent="0.55000000000000004">
      <c r="A74" s="12">
        <v>1.5</v>
      </c>
      <c r="B74" s="12">
        <v>-4</v>
      </c>
      <c r="C74" s="48">
        <v>-3.9116600000000004</v>
      </c>
      <c r="D74" s="54">
        <v>0.88478000000000012</v>
      </c>
      <c r="E74" s="29">
        <f t="shared" si="34"/>
        <v>5.4116600000000004</v>
      </c>
      <c r="F74" s="4">
        <f t="shared" si="35"/>
        <v>0.61521999999999988</v>
      </c>
      <c r="G74" s="12">
        <v>100</v>
      </c>
      <c r="H74" s="13">
        <v>100000</v>
      </c>
      <c r="I74" s="13">
        <f t="shared" si="36"/>
        <v>8.8339999999999643E-4</v>
      </c>
      <c r="J74" s="13">
        <f t="shared" si="37"/>
        <v>8.8478000000000019E-6</v>
      </c>
      <c r="K74" s="7">
        <f t="shared" si="31"/>
        <v>99.844029024163774</v>
      </c>
      <c r="L74" s="37"/>
      <c r="M74" s="18">
        <f>L72/I74</f>
        <v>26413.100898045537</v>
      </c>
      <c r="N74" s="13">
        <f t="shared" si="32"/>
        <v>3.5335999999999854E-2</v>
      </c>
      <c r="O74" s="7">
        <f t="shared" si="33"/>
        <v>2825.5611564456694</v>
      </c>
    </row>
    <row r="75" spans="1:15" x14ac:dyDescent="0.55000000000000004">
      <c r="A75" s="12">
        <v>1.5</v>
      </c>
      <c r="B75" s="12">
        <v>-3.5</v>
      </c>
      <c r="C75" s="48">
        <v>-3.41926</v>
      </c>
      <c r="D75" s="54">
        <v>0.89158000000000004</v>
      </c>
      <c r="E75" s="29">
        <f t="shared" si="34"/>
        <v>4.9192599999999995</v>
      </c>
      <c r="F75" s="4">
        <f t="shared" si="35"/>
        <v>0.60841999999999996</v>
      </c>
      <c r="G75" s="12">
        <v>100</v>
      </c>
      <c r="H75" s="13">
        <v>100000</v>
      </c>
      <c r="I75" s="13">
        <f t="shared" si="36"/>
        <v>8.0740000000000033E-4</v>
      </c>
      <c r="J75" s="13">
        <f t="shared" si="37"/>
        <v>8.9158000000000003E-6</v>
      </c>
      <c r="K75" s="7">
        <f t="shared" si="31"/>
        <v>90.558334641871767</v>
      </c>
      <c r="L75" s="37"/>
      <c r="M75" s="18">
        <f>L72/I75</f>
        <v>28899.347700437607</v>
      </c>
      <c r="N75" s="13">
        <f t="shared" si="32"/>
        <v>3.2296000000000012E-2</v>
      </c>
      <c r="O75" s="7">
        <f t="shared" si="33"/>
        <v>2804.0108571300389</v>
      </c>
    </row>
    <row r="76" spans="1:15" x14ac:dyDescent="0.55000000000000004">
      <c r="A76" s="12">
        <v>1.5</v>
      </c>
      <c r="B76" s="12">
        <v>-3</v>
      </c>
      <c r="C76" s="48">
        <v>-2.9189400000000001</v>
      </c>
      <c r="D76" s="54">
        <v>0.88705999999999996</v>
      </c>
      <c r="E76" s="29">
        <f t="shared" si="34"/>
        <v>4.4189400000000001</v>
      </c>
      <c r="F76" s="4">
        <f t="shared" si="35"/>
        <v>0.61294000000000004</v>
      </c>
      <c r="G76" s="12">
        <v>100</v>
      </c>
      <c r="H76" s="13">
        <v>100000</v>
      </c>
      <c r="I76" s="13">
        <f t="shared" si="36"/>
        <v>8.105999999999991E-4</v>
      </c>
      <c r="J76" s="13">
        <f t="shared" si="37"/>
        <v>8.8705999999999994E-6</v>
      </c>
      <c r="K76" s="7">
        <f t="shared" si="31"/>
        <v>91.380515410456923</v>
      </c>
      <c r="L76" s="37"/>
      <c r="M76" s="18">
        <f>L72/I76</f>
        <v>28785.261945883736</v>
      </c>
      <c r="N76" s="13">
        <f t="shared" si="32"/>
        <v>3.242399999999996E-2</v>
      </c>
      <c r="O76" s="7">
        <f t="shared" si="33"/>
        <v>2818.2986494712877</v>
      </c>
    </row>
    <row r="77" spans="1:15" x14ac:dyDescent="0.55000000000000004">
      <c r="A77" s="12">
        <v>1.5</v>
      </c>
      <c r="B77" s="12">
        <v>-2.5</v>
      </c>
      <c r="C77" s="48">
        <v>-2.4218000000000002</v>
      </c>
      <c r="D77" s="54">
        <v>0.88900000000000001</v>
      </c>
      <c r="E77" s="29">
        <f t="shared" si="34"/>
        <v>3.9218000000000002</v>
      </c>
      <c r="F77" s="4">
        <f t="shared" si="35"/>
        <v>0.61099999999999999</v>
      </c>
      <c r="G77" s="12">
        <v>100</v>
      </c>
      <c r="H77" s="13">
        <v>100000</v>
      </c>
      <c r="I77" s="13">
        <f t="shared" si="36"/>
        <v>7.819999999999983E-4</v>
      </c>
      <c r="J77" s="13">
        <f t="shared" si="37"/>
        <v>8.8899999999999996E-6</v>
      </c>
      <c r="K77" s="7">
        <f t="shared" si="31"/>
        <v>87.96400449943738</v>
      </c>
      <c r="L77" s="37"/>
      <c r="M77" s="18">
        <f>L72/I77</f>
        <v>29838.022165387956</v>
      </c>
      <c r="N77" s="13">
        <f t="shared" si="32"/>
        <v>3.1279999999999933E-2</v>
      </c>
      <c r="O77" s="7">
        <f t="shared" si="33"/>
        <v>2812.1484814398204</v>
      </c>
    </row>
    <row r="78" spans="1:15" x14ac:dyDescent="0.55000000000000004">
      <c r="A78" s="12">
        <v>1.5</v>
      </c>
      <c r="B78" s="12">
        <v>-2</v>
      </c>
      <c r="C78" s="48">
        <v>-1.9209800000000001</v>
      </c>
      <c r="D78" s="54">
        <v>0.88673999999999997</v>
      </c>
      <c r="E78" s="29">
        <f t="shared" si="34"/>
        <v>3.4209800000000001</v>
      </c>
      <c r="F78" s="4">
        <f t="shared" si="35"/>
        <v>0.61326000000000003</v>
      </c>
      <c r="G78" s="12">
        <v>100</v>
      </c>
      <c r="H78" s="13">
        <v>100000</v>
      </c>
      <c r="I78" s="13">
        <f t="shared" si="36"/>
        <v>7.9019999999999872E-4</v>
      </c>
      <c r="J78" s="13">
        <f t="shared" si="37"/>
        <v>8.8673999999999992E-6</v>
      </c>
      <c r="K78" s="7">
        <f t="shared" si="31"/>
        <v>89.112930509506597</v>
      </c>
      <c r="L78" s="37"/>
      <c r="M78" s="18">
        <f>L72/I78</f>
        <v>29528.389437273312</v>
      </c>
      <c r="N78" s="13">
        <f t="shared" si="32"/>
        <v>3.1607999999999949E-2</v>
      </c>
      <c r="O78" s="7">
        <f t="shared" si="33"/>
        <v>2819.3156956943417</v>
      </c>
    </row>
    <row r="79" spans="1:15" x14ac:dyDescent="0.55000000000000004">
      <c r="A79" s="12">
        <v>1.5</v>
      </c>
      <c r="B79" s="12">
        <v>-1.5</v>
      </c>
      <c r="C79" s="48">
        <v>-1.4268400000000001</v>
      </c>
      <c r="D79" s="54">
        <v>0.88939999999999997</v>
      </c>
      <c r="E79" s="29">
        <f t="shared" si="34"/>
        <v>2.9268400000000003</v>
      </c>
      <c r="F79" s="4">
        <f t="shared" si="35"/>
        <v>0.61060000000000003</v>
      </c>
      <c r="G79" s="12">
        <v>100</v>
      </c>
      <c r="H79" s="13">
        <v>100000</v>
      </c>
      <c r="I79" s="13">
        <f t="shared" si="36"/>
        <v>7.3159999999999892E-4</v>
      </c>
      <c r="J79" s="13">
        <f t="shared" si="37"/>
        <v>8.8939999999999999E-6</v>
      </c>
      <c r="K79" s="7">
        <f t="shared" si="31"/>
        <v>82.257701821452542</v>
      </c>
      <c r="L79" s="37"/>
      <c r="M79" s="18">
        <f>L72/I79</f>
        <v>31893.566611992028</v>
      </c>
      <c r="N79" s="13">
        <f t="shared" si="32"/>
        <v>2.9263999999999957E-2</v>
      </c>
      <c r="O79" s="7">
        <f t="shared" si="33"/>
        <v>2810.8837418484372</v>
      </c>
    </row>
    <row r="80" spans="1:15" x14ac:dyDescent="0.55000000000000004">
      <c r="A80" s="12">
        <v>1.5</v>
      </c>
      <c r="B80" s="12">
        <v>-1</v>
      </c>
      <c r="C80" s="48">
        <v>-0.92200000000000004</v>
      </c>
      <c r="D80" s="54">
        <v>0.88185999999999998</v>
      </c>
      <c r="E80" s="29">
        <f t="shared" si="34"/>
        <v>2.4220000000000002</v>
      </c>
      <c r="F80" s="4">
        <f t="shared" si="35"/>
        <v>0.61814000000000002</v>
      </c>
      <c r="G80" s="12">
        <v>100</v>
      </c>
      <c r="H80" s="13">
        <v>100000</v>
      </c>
      <c r="I80" s="13">
        <f t="shared" si="36"/>
        <v>7.7999999999999955E-4</v>
      </c>
      <c r="J80" s="13">
        <f t="shared" si="37"/>
        <v>8.8186000000000006E-6</v>
      </c>
      <c r="K80" s="7">
        <f t="shared" si="31"/>
        <v>88.449413739142216</v>
      </c>
      <c r="L80" s="37"/>
      <c r="M80" s="18">
        <f>L72/I80</f>
        <v>29914.529914529929</v>
      </c>
      <c r="N80" s="13">
        <f t="shared" si="32"/>
        <v>3.1199999999999981E-2</v>
      </c>
      <c r="O80" s="7">
        <f t="shared" si="33"/>
        <v>2834.9171070237908</v>
      </c>
    </row>
    <row r="81" spans="1:15" x14ac:dyDescent="0.55000000000000004">
      <c r="A81" s="12">
        <v>1.5</v>
      </c>
      <c r="B81" s="12">
        <v>-0.5</v>
      </c>
      <c r="C81" s="49">
        <v>-0.42300000000000004</v>
      </c>
      <c r="D81" s="55">
        <v>0.87924000000000002</v>
      </c>
      <c r="E81" s="29">
        <f t="shared" si="34"/>
        <v>1.923</v>
      </c>
      <c r="F81" s="4">
        <f t="shared" si="35"/>
        <v>0.62075999999999998</v>
      </c>
      <c r="G81" s="12">
        <v>100</v>
      </c>
      <c r="H81" s="13">
        <v>100000</v>
      </c>
      <c r="I81" s="13">
        <f t="shared" si="36"/>
        <v>7.6999999999999953E-4</v>
      </c>
      <c r="J81" s="13">
        <f t="shared" si="37"/>
        <v>8.7924000000000007E-6</v>
      </c>
      <c r="K81" s="7">
        <f t="shared" si="31"/>
        <v>87.575633501660462</v>
      </c>
      <c r="L81" s="37"/>
      <c r="M81" s="18">
        <f>L72/I81</f>
        <v>30303.030303030318</v>
      </c>
      <c r="N81" s="13">
        <f t="shared" si="32"/>
        <v>3.079999999999998E-2</v>
      </c>
      <c r="O81" s="7">
        <f t="shared" si="33"/>
        <v>2843.3647240798873</v>
      </c>
    </row>
    <row r="82" spans="1:15" x14ac:dyDescent="0.55000000000000004">
      <c r="A82" s="8">
        <v>1</v>
      </c>
      <c r="B82" s="8">
        <v>-5</v>
      </c>
      <c r="C82" s="47">
        <v>-4.9155600000000002</v>
      </c>
      <c r="D82" s="53">
        <v>0.40730000000000005</v>
      </c>
      <c r="E82" s="26">
        <f>A82-C82</f>
        <v>5.9155600000000002</v>
      </c>
      <c r="F82" s="2">
        <f>A82-D82</f>
        <v>0.5927</v>
      </c>
      <c r="G82" s="8">
        <v>100</v>
      </c>
      <c r="H82" s="9">
        <v>100000</v>
      </c>
      <c r="I82" s="9">
        <f>(C82-B82)/G82</f>
        <v>8.4439999999999852E-4</v>
      </c>
      <c r="J82" s="9">
        <f>(D82-0)/H82</f>
        <v>4.0730000000000006E-6</v>
      </c>
      <c r="K82" s="5">
        <f t="shared" si="31"/>
        <v>207.31647434323554</v>
      </c>
      <c r="L82" s="33">
        <f>0.0006/(0.00003)</f>
        <v>19.999999999999996</v>
      </c>
      <c r="M82" s="16">
        <f>L82/I82</f>
        <v>23685.457129322633</v>
      </c>
      <c r="N82" s="9">
        <f t="shared" si="32"/>
        <v>3.3775999999999938E-2</v>
      </c>
      <c r="O82" s="5">
        <f t="shared" si="33"/>
        <v>6137.9818315737775</v>
      </c>
    </row>
    <row r="83" spans="1:15" x14ac:dyDescent="0.55000000000000004">
      <c r="A83" s="8">
        <v>1</v>
      </c>
      <c r="B83" s="8">
        <v>-4.5</v>
      </c>
      <c r="C83" s="48">
        <v>-4.4169400000000012</v>
      </c>
      <c r="D83" s="54">
        <v>0.40844000000000003</v>
      </c>
      <c r="E83" s="26">
        <f t="shared" ref="E83:E91" si="38">A83-C83</f>
        <v>5.4169400000000012</v>
      </c>
      <c r="F83" s="2">
        <f t="shared" ref="F83:F91" si="39">A83-D83</f>
        <v>0.59155999999999997</v>
      </c>
      <c r="G83" s="8">
        <v>100</v>
      </c>
      <c r="H83" s="9">
        <v>100000</v>
      </c>
      <c r="I83" s="9">
        <f t="shared" ref="I83:I91" si="40">(C83-B83)/G83</f>
        <v>8.3059999999998799E-4</v>
      </c>
      <c r="J83" s="9">
        <f t="shared" ref="J83:J91" si="41">(D83-0)/H83</f>
        <v>4.0844000000000002E-6</v>
      </c>
      <c r="K83" s="5">
        <f t="shared" si="31"/>
        <v>203.35912251493193</v>
      </c>
      <c r="L83" s="38"/>
      <c r="M83" s="16">
        <f>L82/I83</f>
        <v>24078.97905128857</v>
      </c>
      <c r="N83" s="9">
        <f t="shared" si="32"/>
        <v>3.3223999999999518E-2</v>
      </c>
      <c r="O83" s="5">
        <f t="shared" si="33"/>
        <v>6120.8500636568406</v>
      </c>
    </row>
    <row r="84" spans="1:15" x14ac:dyDescent="0.55000000000000004">
      <c r="A84" s="8">
        <v>1</v>
      </c>
      <c r="B84" s="8">
        <v>-4</v>
      </c>
      <c r="C84" s="48">
        <v>-3.9165400000000004</v>
      </c>
      <c r="D84" s="54">
        <v>0.40594000000000002</v>
      </c>
      <c r="E84" s="26">
        <f t="shared" si="38"/>
        <v>4.9165400000000004</v>
      </c>
      <c r="F84" s="2">
        <f t="shared" si="39"/>
        <v>0.59406000000000003</v>
      </c>
      <c r="G84" s="8">
        <v>100</v>
      </c>
      <c r="H84" s="9">
        <v>100000</v>
      </c>
      <c r="I84" s="9">
        <f t="shared" si="40"/>
        <v>8.3459999999999643E-4</v>
      </c>
      <c r="J84" s="9">
        <f t="shared" si="41"/>
        <v>4.0594000000000005E-6</v>
      </c>
      <c r="K84" s="5">
        <f t="shared" si="31"/>
        <v>205.59688623934483</v>
      </c>
      <c r="L84" s="38"/>
      <c r="M84" s="16">
        <f>L82/I84</f>
        <v>23963.575365444623</v>
      </c>
      <c r="N84" s="9">
        <f t="shared" si="32"/>
        <v>3.3383999999999858E-2</v>
      </c>
      <c r="O84" s="5">
        <f t="shared" si="33"/>
        <v>6158.5455978716063</v>
      </c>
    </row>
    <row r="85" spans="1:15" x14ac:dyDescent="0.55000000000000004">
      <c r="A85" s="8">
        <v>1</v>
      </c>
      <c r="B85" s="8">
        <v>-3.5</v>
      </c>
      <c r="C85" s="48">
        <v>-3.4252000000000002</v>
      </c>
      <c r="D85" s="54">
        <v>0.41256000000000004</v>
      </c>
      <c r="E85" s="26">
        <f t="shared" si="38"/>
        <v>4.4252000000000002</v>
      </c>
      <c r="F85" s="2">
        <f t="shared" si="39"/>
        <v>0.58743999999999996</v>
      </c>
      <c r="G85" s="8">
        <v>100</v>
      </c>
      <c r="H85" s="9">
        <v>100000</v>
      </c>
      <c r="I85" s="9">
        <f t="shared" si="40"/>
        <v>7.4799999999999758E-4</v>
      </c>
      <c r="J85" s="9">
        <f t="shared" si="41"/>
        <v>4.1256000000000008E-6</v>
      </c>
      <c r="K85" s="5">
        <f t="shared" si="31"/>
        <v>181.30696141167283</v>
      </c>
      <c r="L85" s="38"/>
      <c r="M85" s="16">
        <f>L82/I85</f>
        <v>26737.967914438585</v>
      </c>
      <c r="N85" s="9">
        <f t="shared" si="32"/>
        <v>2.9919999999999902E-2</v>
      </c>
      <c r="O85" s="5">
        <f t="shared" si="33"/>
        <v>6059.7246461120794</v>
      </c>
    </row>
    <row r="86" spans="1:15" x14ac:dyDescent="0.55000000000000004">
      <c r="A86" s="8">
        <v>1</v>
      </c>
      <c r="B86" s="8">
        <v>-3</v>
      </c>
      <c r="C86" s="48">
        <v>-2.9244400000000002</v>
      </c>
      <c r="D86" s="54">
        <v>0.40885999999999995</v>
      </c>
      <c r="E86" s="26">
        <f t="shared" si="38"/>
        <v>3.9244400000000002</v>
      </c>
      <c r="F86" s="2">
        <f t="shared" si="39"/>
        <v>0.59114</v>
      </c>
      <c r="G86" s="8">
        <v>100</v>
      </c>
      <c r="H86" s="9">
        <v>100000</v>
      </c>
      <c r="I86" s="9">
        <f t="shared" si="40"/>
        <v>7.5559999999999853E-4</v>
      </c>
      <c r="J86" s="9">
        <f t="shared" si="41"/>
        <v>4.0885999999999993E-6</v>
      </c>
      <c r="K86" s="5">
        <f t="shared" si="31"/>
        <v>184.8065352443376</v>
      </c>
      <c r="L86" s="38"/>
      <c r="M86" s="16">
        <f>L82/I86</f>
        <v>26469.031233456903</v>
      </c>
      <c r="N86" s="9">
        <f t="shared" si="32"/>
        <v>3.0223999999999938E-2</v>
      </c>
      <c r="O86" s="5">
        <f t="shared" si="33"/>
        <v>6114.5624419116584</v>
      </c>
    </row>
    <row r="87" spans="1:15" x14ac:dyDescent="0.55000000000000004">
      <c r="A87" s="8">
        <v>1</v>
      </c>
      <c r="B87" s="8">
        <v>-2.5</v>
      </c>
      <c r="C87" s="48">
        <v>-2.4267400000000001</v>
      </c>
      <c r="D87" s="54">
        <v>0.41048000000000001</v>
      </c>
      <c r="E87" s="26">
        <f t="shared" si="38"/>
        <v>3.4267400000000001</v>
      </c>
      <c r="F87" s="2">
        <f t="shared" si="39"/>
        <v>0.58952000000000004</v>
      </c>
      <c r="G87" s="8">
        <v>100</v>
      </c>
      <c r="H87" s="9">
        <v>100000</v>
      </c>
      <c r="I87" s="9">
        <f t="shared" si="40"/>
        <v>7.3259999999999883E-4</v>
      </c>
      <c r="J87" s="9">
        <f t="shared" si="41"/>
        <v>4.1048000000000001E-6</v>
      </c>
      <c r="K87" s="5">
        <f t="shared" si="31"/>
        <v>178.47398167998412</v>
      </c>
      <c r="L87" s="38"/>
      <c r="M87" s="16">
        <f>L82/I87</f>
        <v>27300.027300027337</v>
      </c>
      <c r="N87" s="9">
        <f t="shared" si="32"/>
        <v>2.9303999999999952E-2</v>
      </c>
      <c r="O87" s="5">
        <f t="shared" si="33"/>
        <v>6090.4307152601832</v>
      </c>
    </row>
    <row r="88" spans="1:15" x14ac:dyDescent="0.55000000000000004">
      <c r="A88" s="8">
        <v>1</v>
      </c>
      <c r="B88" s="8">
        <v>-2</v>
      </c>
      <c r="C88" s="48">
        <v>-1.9260200000000001</v>
      </c>
      <c r="D88" s="54">
        <v>0.40808</v>
      </c>
      <c r="E88" s="26">
        <f t="shared" si="38"/>
        <v>2.9260200000000003</v>
      </c>
      <c r="F88" s="2">
        <f t="shared" si="39"/>
        <v>0.59192</v>
      </c>
      <c r="G88" s="8">
        <v>100</v>
      </c>
      <c r="H88" s="9">
        <v>100000</v>
      </c>
      <c r="I88" s="9">
        <f t="shared" si="40"/>
        <v>7.3979999999999933E-4</v>
      </c>
      <c r="J88" s="9">
        <f t="shared" si="41"/>
        <v>4.0808E-6</v>
      </c>
      <c r="K88" s="5">
        <f t="shared" si="31"/>
        <v>181.28798274848052</v>
      </c>
      <c r="L88" s="38"/>
      <c r="M88" s="16">
        <f>L82/I88</f>
        <v>27034.333603676689</v>
      </c>
      <c r="N88" s="9">
        <f t="shared" si="32"/>
        <v>2.9591999999999972E-2</v>
      </c>
      <c r="O88" s="5">
        <f t="shared" si="33"/>
        <v>6126.2497549500104</v>
      </c>
    </row>
    <row r="89" spans="1:15" x14ac:dyDescent="0.55000000000000004">
      <c r="A89" s="8">
        <v>1</v>
      </c>
      <c r="B89" s="8">
        <v>-1.5</v>
      </c>
      <c r="C89" s="48">
        <v>-1.4316199999999999</v>
      </c>
      <c r="D89" s="54">
        <v>0.41158</v>
      </c>
      <c r="E89" s="26">
        <f t="shared" si="38"/>
        <v>2.4316199999999997</v>
      </c>
      <c r="F89" s="2">
        <f t="shared" si="39"/>
        <v>0.58841999999999994</v>
      </c>
      <c r="G89" s="8">
        <v>100</v>
      </c>
      <c r="H89" s="9">
        <v>100000</v>
      </c>
      <c r="I89" s="9">
        <f t="shared" si="40"/>
        <v>6.8380000000000112E-4</v>
      </c>
      <c r="J89" s="9">
        <f t="shared" si="41"/>
        <v>4.1157999999999996E-6</v>
      </c>
      <c r="K89" s="5">
        <f t="shared" si="31"/>
        <v>166.14024005053724</v>
      </c>
      <c r="L89" s="38"/>
      <c r="M89" s="16">
        <f>L82/I89</f>
        <v>29248.3182217022</v>
      </c>
      <c r="N89" s="9">
        <f t="shared" si="32"/>
        <v>2.7352000000000043E-2</v>
      </c>
      <c r="O89" s="5">
        <f t="shared" si="33"/>
        <v>6074.1532630351339</v>
      </c>
    </row>
    <row r="90" spans="1:15" x14ac:dyDescent="0.55000000000000004">
      <c r="A90" s="8">
        <v>1</v>
      </c>
      <c r="B90" s="8">
        <v>-1</v>
      </c>
      <c r="C90" s="48">
        <v>-0.92754000000000014</v>
      </c>
      <c r="D90" s="54">
        <v>0.40424000000000004</v>
      </c>
      <c r="E90" s="26">
        <f t="shared" si="38"/>
        <v>1.92754</v>
      </c>
      <c r="F90" s="2">
        <f t="shared" si="39"/>
        <v>0.59575999999999996</v>
      </c>
      <c r="G90" s="8">
        <v>100</v>
      </c>
      <c r="H90" s="9">
        <v>100000</v>
      </c>
      <c r="I90" s="9">
        <f t="shared" si="40"/>
        <v>7.2459999999999853E-4</v>
      </c>
      <c r="J90" s="9">
        <f t="shared" si="41"/>
        <v>4.0424000000000005E-6</v>
      </c>
      <c r="K90" s="5">
        <f t="shared" si="31"/>
        <v>179.24995052444055</v>
      </c>
      <c r="L90" s="38"/>
      <c r="M90" s="16">
        <f>L82/I90</f>
        <v>27601.435274634332</v>
      </c>
      <c r="N90" s="9">
        <f t="shared" si="32"/>
        <v>2.898399999999994E-2</v>
      </c>
      <c r="O90" s="5">
        <f t="shared" si="33"/>
        <v>6184.4448842271913</v>
      </c>
    </row>
    <row r="91" spans="1:15" x14ac:dyDescent="0.55000000000000004">
      <c r="A91" s="8">
        <v>1</v>
      </c>
      <c r="B91" s="8">
        <v>-0.5</v>
      </c>
      <c r="C91" s="49">
        <v>-0.42775999999999997</v>
      </c>
      <c r="D91" s="55">
        <v>0.40144000000000002</v>
      </c>
      <c r="E91" s="26">
        <f t="shared" si="38"/>
        <v>1.4277599999999999</v>
      </c>
      <c r="F91" s="2">
        <f t="shared" si="39"/>
        <v>0.59855999999999998</v>
      </c>
      <c r="G91" s="8">
        <v>100</v>
      </c>
      <c r="H91" s="9">
        <v>100000</v>
      </c>
      <c r="I91" s="9">
        <f t="shared" si="40"/>
        <v>7.2240000000000021E-4</v>
      </c>
      <c r="J91" s="9">
        <f t="shared" si="41"/>
        <v>4.0144000000000001E-6</v>
      </c>
      <c r="K91" s="5">
        <f t="shared" si="31"/>
        <v>179.95217218015151</v>
      </c>
      <c r="L91" s="38"/>
      <c r="M91" s="16">
        <f>L82/I91</f>
        <v>27685.492801771859</v>
      </c>
      <c r="N91" s="9">
        <f t="shared" si="32"/>
        <v>2.8896000000000008E-2</v>
      </c>
      <c r="O91" s="5">
        <f t="shared" si="33"/>
        <v>6227.5807094459951</v>
      </c>
    </row>
    <row r="97" spans="1:15" ht="14.7" x14ac:dyDescent="0.55000000000000004">
      <c r="A97" s="1" t="s">
        <v>17</v>
      </c>
      <c r="B97" s="1" t="s">
        <v>18</v>
      </c>
      <c r="C97" s="1" t="s">
        <v>0</v>
      </c>
      <c r="D97" s="1" t="s">
        <v>1</v>
      </c>
      <c r="E97" s="20" t="s">
        <v>19</v>
      </c>
      <c r="F97" s="19" t="s">
        <v>20</v>
      </c>
      <c r="G97" s="1" t="s">
        <v>2</v>
      </c>
      <c r="H97" s="1" t="s">
        <v>3</v>
      </c>
      <c r="I97" s="1" t="s">
        <v>4</v>
      </c>
      <c r="J97" s="1" t="s">
        <v>5</v>
      </c>
      <c r="K97" s="1" t="s">
        <v>6</v>
      </c>
      <c r="L97" s="15" t="s">
        <v>10</v>
      </c>
      <c r="M97" s="15" t="s">
        <v>13</v>
      </c>
      <c r="N97" s="14" t="s">
        <v>11</v>
      </c>
      <c r="O97" s="15" t="s">
        <v>12</v>
      </c>
    </row>
    <row r="98" spans="1:15" x14ac:dyDescent="0.55000000000000004">
      <c r="A98" s="12">
        <v>1.5</v>
      </c>
      <c r="B98" s="12">
        <v>-0.5</v>
      </c>
      <c r="C98" s="49">
        <v>-0.42300000000000004</v>
      </c>
      <c r="D98" s="55">
        <v>0.87924000000000002</v>
      </c>
      <c r="E98" s="29">
        <f t="shared" ref="E98" si="42">A98-C98</f>
        <v>1.923</v>
      </c>
      <c r="F98" s="4">
        <f t="shared" ref="F98" si="43">A98-D98</f>
        <v>0.62075999999999998</v>
      </c>
      <c r="G98" s="12">
        <v>100</v>
      </c>
      <c r="H98" s="13">
        <v>100000</v>
      </c>
      <c r="I98" s="13">
        <f t="shared" ref="I98" si="44">(C98-B98)/G98</f>
        <v>7.6999999999999953E-4</v>
      </c>
      <c r="J98" s="13">
        <f t="shared" ref="J98" si="45">(D98-0)/H98</f>
        <v>8.7924000000000007E-6</v>
      </c>
      <c r="K98" s="7">
        <f t="shared" ref="K98" si="46">I98/J98</f>
        <v>87.575633501660462</v>
      </c>
      <c r="L98" s="15">
        <v>23</v>
      </c>
      <c r="M98" s="18">
        <v>30300</v>
      </c>
      <c r="N98" s="13">
        <f t="shared" ref="N98" si="47">I98/0.025</f>
        <v>3.079999999999998E-2</v>
      </c>
      <c r="O98" s="7">
        <f t="shared" ref="O98" si="48">0.025/J98</f>
        <v>2843.3647240798873</v>
      </c>
    </row>
  </sheetData>
  <mergeCells count="9">
    <mergeCell ref="L62:L71"/>
    <mergeCell ref="L72:L81"/>
    <mergeCell ref="L82:L91"/>
    <mergeCell ref="L22:L31"/>
    <mergeCell ref="L2:L11"/>
    <mergeCell ref="L12:L21"/>
    <mergeCell ref="L32:L41"/>
    <mergeCell ref="L42:L51"/>
    <mergeCell ref="L52:L6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97F9DA-6B81-4B1F-96E9-DB3364595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Steps 1.2-1.4</vt:lpstr>
      <vt:lpstr>Step 1.8</vt:lpstr>
      <vt:lpstr>Steps 2.2-2.4</vt:lpstr>
      <vt:lpstr>Step 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Chih-Hung (James) Chen</dc:creator>
  <cp:lastModifiedBy>Joey McIntyre</cp:lastModifiedBy>
  <dcterms:created xsi:type="dcterms:W3CDTF">2020-07-06T04:29:19Z</dcterms:created>
  <dcterms:modified xsi:type="dcterms:W3CDTF">2025-09-21T23:49:16Z</dcterms:modified>
</cp:coreProperties>
</file>